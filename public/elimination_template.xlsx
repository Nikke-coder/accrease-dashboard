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o\OneDrive\Desktop\"/>
    </mc:Choice>
  </mc:AlternateContent>
  <xr:revisionPtr revIDLastSave="0" documentId="13_ncr:1_{05A548E9-77BA-49A1-9FFE-AD67C6847F1E}" xr6:coauthVersionLast="47" xr6:coauthVersionMax="47" xr10:uidLastSave="{00000000-0000-0000-0000-000000000000}"/>
  <bookViews>
    <workbookView xWindow="-108" yWindow="-108" windowWidth="30936" windowHeight="18696" xr2:uid="{9E0E1585-E120-497B-A8FD-2EC1B7213198}"/>
  </bookViews>
  <sheets>
    <sheet name="Elimination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4" i="5" l="1"/>
  <c r="U113" i="5"/>
  <c r="U112" i="5"/>
  <c r="U108" i="5"/>
  <c r="U107" i="5"/>
  <c r="U106" i="5"/>
  <c r="U102" i="5"/>
  <c r="U101" i="5"/>
  <c r="U100" i="5"/>
  <c r="U99" i="5"/>
  <c r="U98" i="5"/>
  <c r="U97" i="5"/>
  <c r="U96" i="5"/>
  <c r="U54" i="5"/>
  <c r="U49" i="5"/>
  <c r="U48" i="5"/>
  <c r="U41" i="5"/>
  <c r="U40" i="5"/>
  <c r="U39" i="5"/>
  <c r="U38" i="5"/>
  <c r="U37" i="5"/>
  <c r="U36" i="5"/>
  <c r="U35" i="5"/>
  <c r="U31" i="5"/>
  <c r="U30" i="5"/>
  <c r="U23" i="5"/>
  <c r="U22" i="5"/>
  <c r="U15" i="5"/>
  <c r="U14" i="5"/>
  <c r="U10" i="5"/>
  <c r="U9" i="5"/>
  <c r="O118" i="5"/>
  <c r="T114" i="5"/>
  <c r="S114" i="5"/>
  <c r="R114" i="5"/>
  <c r="Q114" i="5"/>
  <c r="P114" i="5"/>
  <c r="P115" i="5" s="1"/>
  <c r="O114" i="5"/>
  <c r="O115" i="5" s="1"/>
  <c r="T113" i="5"/>
  <c r="T115" i="5" s="1"/>
  <c r="S113" i="5"/>
  <c r="S115" i="5" s="1"/>
  <c r="R113" i="5"/>
  <c r="R115" i="5" s="1"/>
  <c r="Q113" i="5"/>
  <c r="P113" i="5"/>
  <c r="O113" i="5"/>
  <c r="T112" i="5"/>
  <c r="S112" i="5"/>
  <c r="R112" i="5"/>
  <c r="Q112" i="5"/>
  <c r="Q115" i="5" s="1"/>
  <c r="P112" i="5"/>
  <c r="O112" i="5"/>
  <c r="T108" i="5"/>
  <c r="T109" i="5" s="1"/>
  <c r="S108" i="5"/>
  <c r="S109" i="5" s="1"/>
  <c r="R108" i="5"/>
  <c r="R109" i="5" s="1"/>
  <c r="Q108" i="5"/>
  <c r="Q109" i="5" s="1"/>
  <c r="P108" i="5"/>
  <c r="P109" i="5" s="1"/>
  <c r="O108" i="5"/>
  <c r="O109" i="5" s="1"/>
  <c r="T107" i="5"/>
  <c r="S107" i="5"/>
  <c r="R107" i="5"/>
  <c r="Q107" i="5"/>
  <c r="P107" i="5"/>
  <c r="O107" i="5"/>
  <c r="T106" i="5"/>
  <c r="S106" i="5"/>
  <c r="R106" i="5"/>
  <c r="Q106" i="5"/>
  <c r="P106" i="5"/>
  <c r="O106" i="5"/>
  <c r="T102" i="5"/>
  <c r="S102" i="5"/>
  <c r="R102" i="5"/>
  <c r="Q102" i="5"/>
  <c r="P102" i="5"/>
  <c r="O102" i="5"/>
  <c r="T101" i="5"/>
  <c r="S101" i="5"/>
  <c r="R101" i="5"/>
  <c r="Q101" i="5"/>
  <c r="P101" i="5"/>
  <c r="O101" i="5"/>
  <c r="T100" i="5"/>
  <c r="S100" i="5"/>
  <c r="R100" i="5"/>
  <c r="Q100" i="5"/>
  <c r="P100" i="5"/>
  <c r="O100" i="5"/>
  <c r="T99" i="5"/>
  <c r="S99" i="5"/>
  <c r="R99" i="5"/>
  <c r="Q99" i="5"/>
  <c r="P99" i="5"/>
  <c r="O99" i="5"/>
  <c r="T98" i="5"/>
  <c r="S98" i="5"/>
  <c r="R98" i="5"/>
  <c r="Q98" i="5"/>
  <c r="P98" i="5"/>
  <c r="O98" i="5"/>
  <c r="T97" i="5"/>
  <c r="S97" i="5"/>
  <c r="R97" i="5"/>
  <c r="Q97" i="5"/>
  <c r="P97" i="5"/>
  <c r="O97" i="5"/>
  <c r="T96" i="5"/>
  <c r="S96" i="5"/>
  <c r="R96" i="5"/>
  <c r="Q96" i="5"/>
  <c r="P96" i="5"/>
  <c r="O96" i="5"/>
  <c r="T85" i="5"/>
  <c r="S85" i="5"/>
  <c r="R85" i="5"/>
  <c r="Q85" i="5"/>
  <c r="P85" i="5"/>
  <c r="O85" i="5"/>
  <c r="T63" i="5"/>
  <c r="S63" i="5"/>
  <c r="R63" i="5"/>
  <c r="Q63" i="5"/>
  <c r="P63" i="5"/>
  <c r="O63" i="5"/>
  <c r="T50" i="5"/>
  <c r="S50" i="5"/>
  <c r="R50" i="5"/>
  <c r="Q50" i="5"/>
  <c r="P50" i="5"/>
  <c r="O50" i="5"/>
  <c r="R45" i="5"/>
  <c r="T42" i="5"/>
  <c r="S42" i="5"/>
  <c r="R42" i="5"/>
  <c r="Q42" i="5"/>
  <c r="P42" i="5"/>
  <c r="O42" i="5"/>
  <c r="T32" i="5"/>
  <c r="T94" i="5" s="1"/>
  <c r="S32" i="5"/>
  <c r="S94" i="5" s="1"/>
  <c r="R32" i="5"/>
  <c r="R94" i="5" s="1"/>
  <c r="Q32" i="5"/>
  <c r="Q94" i="5" s="1"/>
  <c r="P32" i="5"/>
  <c r="P94" i="5" s="1"/>
  <c r="O32" i="5"/>
  <c r="O94" i="5" s="1"/>
  <c r="T27" i="5"/>
  <c r="S27" i="5"/>
  <c r="R27" i="5"/>
  <c r="Q27" i="5"/>
  <c r="P27" i="5"/>
  <c r="O27" i="5"/>
  <c r="T24" i="5"/>
  <c r="S24" i="5"/>
  <c r="R24" i="5"/>
  <c r="Q24" i="5"/>
  <c r="P24" i="5"/>
  <c r="O24" i="5"/>
  <c r="T19" i="5"/>
  <c r="S19" i="5"/>
  <c r="R19" i="5"/>
  <c r="Q19" i="5"/>
  <c r="P19" i="5"/>
  <c r="O19" i="5"/>
  <c r="T18" i="5"/>
  <c r="T26" i="5" s="1"/>
  <c r="T44" i="5" s="1"/>
  <c r="T52" i="5" s="1"/>
  <c r="T56" i="5" s="1"/>
  <c r="S18" i="5"/>
  <c r="S26" i="5" s="1"/>
  <c r="S44" i="5" s="1"/>
  <c r="S52" i="5" s="1"/>
  <c r="S56" i="5" s="1"/>
  <c r="T16" i="5"/>
  <c r="S16" i="5"/>
  <c r="R16" i="5"/>
  <c r="Q16" i="5"/>
  <c r="P16" i="5"/>
  <c r="O16" i="5"/>
  <c r="T11" i="5"/>
  <c r="T57" i="5" s="1"/>
  <c r="S11" i="5"/>
  <c r="S45" i="5" s="1"/>
  <c r="R11" i="5"/>
  <c r="R18" i="5" s="1"/>
  <c r="R26" i="5" s="1"/>
  <c r="R44" i="5" s="1"/>
  <c r="R52" i="5" s="1"/>
  <c r="R56" i="5" s="1"/>
  <c r="Q11" i="5"/>
  <c r="Q18" i="5" s="1"/>
  <c r="Q26" i="5" s="1"/>
  <c r="Q44" i="5" s="1"/>
  <c r="Q52" i="5" s="1"/>
  <c r="Q56" i="5" s="1"/>
  <c r="P11" i="5"/>
  <c r="P18" i="5" s="1"/>
  <c r="P26" i="5" s="1"/>
  <c r="P44" i="5" s="1"/>
  <c r="P52" i="5" s="1"/>
  <c r="P56" i="5" s="1"/>
  <c r="O11" i="5"/>
  <c r="O18" i="5" s="1"/>
  <c r="O26" i="5" s="1"/>
  <c r="O44" i="5" s="1"/>
  <c r="O52" i="5" s="1"/>
  <c r="O56" i="5" s="1"/>
  <c r="R7" i="5"/>
  <c r="Q7" i="5"/>
  <c r="P7" i="5"/>
  <c r="T6" i="5"/>
  <c r="T7" i="5" s="1"/>
  <c r="S6" i="5"/>
  <c r="S7" i="5" s="1"/>
  <c r="R6" i="5"/>
  <c r="Q6" i="5"/>
  <c r="P6" i="5"/>
  <c r="O6" i="5"/>
  <c r="O7" i="5" s="1"/>
  <c r="N6" i="5"/>
  <c r="N7" i="5" s="1"/>
  <c r="M6" i="5"/>
  <c r="M7" i="5" s="1"/>
  <c r="L6" i="5"/>
  <c r="L7" i="5" s="1"/>
  <c r="K6" i="5"/>
  <c r="K7" i="5" s="1"/>
  <c r="J6" i="5"/>
  <c r="J7" i="5" s="1"/>
  <c r="I6" i="5"/>
  <c r="I7" i="5" s="1"/>
  <c r="H6" i="5"/>
  <c r="H7" i="5" s="1"/>
  <c r="G6" i="5"/>
  <c r="G7" i="5" s="1"/>
  <c r="F6" i="5"/>
  <c r="F7" i="5" s="1"/>
  <c r="E6" i="5"/>
  <c r="E7" i="5" s="1"/>
  <c r="D6" i="5"/>
  <c r="D7" i="5" s="1"/>
  <c r="C6" i="5"/>
  <c r="C7" i="5" s="1"/>
  <c r="A1" i="5"/>
  <c r="A5" i="5"/>
  <c r="B119" i="5"/>
  <c r="C118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N113" i="5"/>
  <c r="M113" i="5"/>
  <c r="L113" i="5"/>
  <c r="K113" i="5"/>
  <c r="J113" i="5"/>
  <c r="J115" i="5" s="1"/>
  <c r="I113" i="5"/>
  <c r="I115" i="5" s="1"/>
  <c r="H113" i="5"/>
  <c r="H115" i="5" s="1"/>
  <c r="G113" i="5"/>
  <c r="G115" i="5" s="1"/>
  <c r="F113" i="5"/>
  <c r="F115" i="5" s="1"/>
  <c r="E113" i="5"/>
  <c r="E115" i="5" s="1"/>
  <c r="D113" i="5"/>
  <c r="C113" i="5"/>
  <c r="C115" i="5" s="1"/>
  <c r="N112" i="5"/>
  <c r="M112" i="5"/>
  <c r="L112" i="5"/>
  <c r="K112" i="5"/>
  <c r="J112" i="5"/>
  <c r="I112" i="5"/>
  <c r="H112" i="5"/>
  <c r="G112" i="5"/>
  <c r="F112" i="5"/>
  <c r="E112" i="5"/>
  <c r="D112" i="5"/>
  <c r="C112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N106" i="5"/>
  <c r="N109" i="5" s="1"/>
  <c r="M106" i="5"/>
  <c r="M109" i="5" s="1"/>
  <c r="L106" i="5"/>
  <c r="L109" i="5" s="1"/>
  <c r="K106" i="5"/>
  <c r="J106" i="5"/>
  <c r="I106" i="5"/>
  <c r="H106" i="5"/>
  <c r="G106" i="5"/>
  <c r="F106" i="5"/>
  <c r="E106" i="5"/>
  <c r="D106" i="5"/>
  <c r="C106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N99" i="5"/>
  <c r="M99" i="5"/>
  <c r="L99" i="5"/>
  <c r="K99" i="5"/>
  <c r="J99" i="5"/>
  <c r="I99" i="5"/>
  <c r="H99" i="5"/>
  <c r="G99" i="5"/>
  <c r="F99" i="5"/>
  <c r="E99" i="5"/>
  <c r="D99" i="5"/>
  <c r="C99" i="5"/>
  <c r="N98" i="5"/>
  <c r="M98" i="5"/>
  <c r="L98" i="5"/>
  <c r="K98" i="5"/>
  <c r="J98" i="5"/>
  <c r="I98" i="5"/>
  <c r="H98" i="5"/>
  <c r="G98" i="5"/>
  <c r="F98" i="5"/>
  <c r="E98" i="5"/>
  <c r="D98" i="5"/>
  <c r="C98" i="5"/>
  <c r="N97" i="5"/>
  <c r="M97" i="5"/>
  <c r="L97" i="5"/>
  <c r="K97" i="5"/>
  <c r="J97" i="5"/>
  <c r="I97" i="5"/>
  <c r="H97" i="5"/>
  <c r="G97" i="5"/>
  <c r="F97" i="5"/>
  <c r="E97" i="5"/>
  <c r="D97" i="5"/>
  <c r="C97" i="5"/>
  <c r="N96" i="5"/>
  <c r="M96" i="5"/>
  <c r="L96" i="5"/>
  <c r="K96" i="5"/>
  <c r="J96" i="5"/>
  <c r="I96" i="5"/>
  <c r="H96" i="5"/>
  <c r="G96" i="5"/>
  <c r="F96" i="5"/>
  <c r="E96" i="5"/>
  <c r="D96" i="5"/>
  <c r="C96" i="5"/>
  <c r="L94" i="5"/>
  <c r="U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B77" i="5"/>
  <c r="B78" i="5" s="1"/>
  <c r="B87" i="5" s="1"/>
  <c r="B69" i="5"/>
  <c r="B70" i="5" s="1"/>
  <c r="U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U50" i="5"/>
  <c r="U32" i="5"/>
  <c r="U94" i="5" s="1"/>
  <c r="U16" i="5"/>
  <c r="N50" i="5"/>
  <c r="M50" i="5"/>
  <c r="L50" i="5"/>
  <c r="K50" i="5"/>
  <c r="J50" i="5"/>
  <c r="I50" i="5"/>
  <c r="H50" i="5"/>
  <c r="G50" i="5"/>
  <c r="F50" i="5"/>
  <c r="E50" i="5"/>
  <c r="D50" i="5"/>
  <c r="C50" i="5"/>
  <c r="N42" i="5"/>
  <c r="M42" i="5"/>
  <c r="L42" i="5"/>
  <c r="K42" i="5"/>
  <c r="J42" i="5"/>
  <c r="I42" i="5"/>
  <c r="H42" i="5"/>
  <c r="G42" i="5"/>
  <c r="F42" i="5"/>
  <c r="E42" i="5"/>
  <c r="D42" i="5"/>
  <c r="C42" i="5"/>
  <c r="N32" i="5"/>
  <c r="N94" i="5" s="1"/>
  <c r="M32" i="5"/>
  <c r="M94" i="5" s="1"/>
  <c r="L32" i="5"/>
  <c r="K32" i="5"/>
  <c r="K94" i="5" s="1"/>
  <c r="J32" i="5"/>
  <c r="J94" i="5" s="1"/>
  <c r="I32" i="5"/>
  <c r="I94" i="5" s="1"/>
  <c r="H32" i="5"/>
  <c r="H94" i="5" s="1"/>
  <c r="G32" i="5"/>
  <c r="G94" i="5" s="1"/>
  <c r="F32" i="5"/>
  <c r="F94" i="5" s="1"/>
  <c r="E32" i="5"/>
  <c r="E94" i="5" s="1"/>
  <c r="D32" i="5"/>
  <c r="D94" i="5" s="1"/>
  <c r="C32" i="5"/>
  <c r="C94" i="5" s="1"/>
  <c r="U27" i="5"/>
  <c r="N27" i="5"/>
  <c r="M27" i="5"/>
  <c r="L27" i="5"/>
  <c r="F27" i="5"/>
  <c r="D27" i="5"/>
  <c r="C27" i="5"/>
  <c r="N24" i="5"/>
  <c r="M24" i="5"/>
  <c r="L24" i="5"/>
  <c r="K24" i="5"/>
  <c r="J24" i="5"/>
  <c r="I24" i="5"/>
  <c r="H24" i="5"/>
  <c r="G24" i="5"/>
  <c r="F24" i="5"/>
  <c r="E24" i="5"/>
  <c r="D24" i="5"/>
  <c r="C24" i="5"/>
  <c r="U19" i="5"/>
  <c r="N19" i="5"/>
  <c r="M19" i="5"/>
  <c r="L19" i="5"/>
  <c r="K19" i="5"/>
  <c r="N16" i="5"/>
  <c r="M16" i="5"/>
  <c r="L16" i="5"/>
  <c r="K16" i="5"/>
  <c r="J16" i="5"/>
  <c r="I16" i="5"/>
  <c r="H16" i="5"/>
  <c r="G16" i="5"/>
  <c r="F16" i="5"/>
  <c r="E16" i="5"/>
  <c r="D16" i="5"/>
  <c r="C16" i="5"/>
  <c r="U11" i="5"/>
  <c r="U57" i="5" s="1"/>
  <c r="N11" i="5"/>
  <c r="M11" i="5"/>
  <c r="L11" i="5"/>
  <c r="K11" i="5"/>
  <c r="K27" i="5" s="1"/>
  <c r="J11" i="5"/>
  <c r="J19" i="5" s="1"/>
  <c r="I11" i="5"/>
  <c r="I19" i="5" s="1"/>
  <c r="H11" i="5"/>
  <c r="H19" i="5" s="1"/>
  <c r="G11" i="5"/>
  <c r="G19" i="5" s="1"/>
  <c r="F11" i="5"/>
  <c r="F57" i="5" s="1"/>
  <c r="E11" i="5"/>
  <c r="E57" i="5" s="1"/>
  <c r="D11" i="5"/>
  <c r="D57" i="5" s="1"/>
  <c r="C11" i="5"/>
  <c r="C57" i="5" s="1"/>
  <c r="Q77" i="5" l="1"/>
  <c r="Q78" i="5" s="1"/>
  <c r="Q87" i="5" s="1"/>
  <c r="Q93" i="5"/>
  <c r="Q103" i="5" s="1"/>
  <c r="Q117" i="5" s="1"/>
  <c r="T93" i="5"/>
  <c r="T103" i="5" s="1"/>
  <c r="T117" i="5" s="1"/>
  <c r="T77" i="5"/>
  <c r="T78" i="5" s="1"/>
  <c r="T87" i="5" s="1"/>
  <c r="R93" i="5"/>
  <c r="R103" i="5" s="1"/>
  <c r="R117" i="5" s="1"/>
  <c r="R77" i="5"/>
  <c r="R78" i="5" s="1"/>
  <c r="R87" i="5" s="1"/>
  <c r="S77" i="5"/>
  <c r="S78" i="5" s="1"/>
  <c r="S87" i="5" s="1"/>
  <c r="S93" i="5"/>
  <c r="S103" i="5" s="1"/>
  <c r="S117" i="5" s="1"/>
  <c r="O77" i="5"/>
  <c r="O78" i="5" s="1"/>
  <c r="O87" i="5" s="1"/>
  <c r="O93" i="5"/>
  <c r="O103" i="5" s="1"/>
  <c r="O117" i="5" s="1"/>
  <c r="O119" i="5" s="1"/>
  <c r="P77" i="5"/>
  <c r="P78" i="5" s="1"/>
  <c r="P87" i="5" s="1"/>
  <c r="P93" i="5"/>
  <c r="P103" i="5" s="1"/>
  <c r="P117" i="5" s="1"/>
  <c r="O45" i="5"/>
  <c r="O57" i="5"/>
  <c r="R57" i="5"/>
  <c r="P45" i="5"/>
  <c r="P57" i="5"/>
  <c r="Q57" i="5"/>
  <c r="S57" i="5"/>
  <c r="T45" i="5"/>
  <c r="Q45" i="5"/>
  <c r="B121" i="5"/>
  <c r="K115" i="5"/>
  <c r="L115" i="5"/>
  <c r="M115" i="5"/>
  <c r="H57" i="5"/>
  <c r="F18" i="5"/>
  <c r="F26" i="5" s="1"/>
  <c r="F44" i="5" s="1"/>
  <c r="F52" i="5" s="1"/>
  <c r="F56" i="5" s="1"/>
  <c r="F93" i="5" s="1"/>
  <c r="F103" i="5" s="1"/>
  <c r="F117" i="5" s="1"/>
  <c r="D45" i="5"/>
  <c r="I57" i="5"/>
  <c r="D109" i="5"/>
  <c r="U115" i="5"/>
  <c r="D18" i="5"/>
  <c r="D26" i="5" s="1"/>
  <c r="D44" i="5" s="1"/>
  <c r="D52" i="5" s="1"/>
  <c r="D56" i="5" s="1"/>
  <c r="D93" i="5" s="1"/>
  <c r="D103" i="5" s="1"/>
  <c r="E18" i="5"/>
  <c r="E26" i="5" s="1"/>
  <c r="E44" i="5" s="1"/>
  <c r="E52" i="5" s="1"/>
  <c r="E56" i="5" s="1"/>
  <c r="E93" i="5" s="1"/>
  <c r="E103" i="5" s="1"/>
  <c r="E117" i="5" s="1"/>
  <c r="C45" i="5"/>
  <c r="K109" i="5"/>
  <c r="G18" i="5"/>
  <c r="G26" i="5" s="1"/>
  <c r="G44" i="5" s="1"/>
  <c r="G52" i="5" s="1"/>
  <c r="G56" i="5" s="1"/>
  <c r="G77" i="5" s="1"/>
  <c r="G78" i="5" s="1"/>
  <c r="G87" i="5" s="1"/>
  <c r="E45" i="5"/>
  <c r="E109" i="5"/>
  <c r="L18" i="5"/>
  <c r="L26" i="5" s="1"/>
  <c r="L44" i="5" s="1"/>
  <c r="L52" i="5" s="1"/>
  <c r="L56" i="5" s="1"/>
  <c r="L93" i="5" s="1"/>
  <c r="L103" i="5" s="1"/>
  <c r="L117" i="5" s="1"/>
  <c r="H18" i="5"/>
  <c r="H26" i="5" s="1"/>
  <c r="H44" i="5" s="1"/>
  <c r="H52" i="5" s="1"/>
  <c r="H56" i="5" s="1"/>
  <c r="F45" i="5"/>
  <c r="F109" i="5"/>
  <c r="U42" i="5"/>
  <c r="I109" i="5"/>
  <c r="M18" i="5"/>
  <c r="M26" i="5" s="1"/>
  <c r="M44" i="5" s="1"/>
  <c r="M52" i="5" s="1"/>
  <c r="M56" i="5" s="1"/>
  <c r="G45" i="5"/>
  <c r="G109" i="5"/>
  <c r="N18" i="5"/>
  <c r="N26" i="5" s="1"/>
  <c r="N44" i="5" s="1"/>
  <c r="N52" i="5" s="1"/>
  <c r="N56" i="5" s="1"/>
  <c r="N77" i="5" s="1"/>
  <c r="N78" i="5" s="1"/>
  <c r="N87" i="5" s="1"/>
  <c r="C19" i="5"/>
  <c r="H45" i="5"/>
  <c r="H109" i="5"/>
  <c r="G57" i="5"/>
  <c r="I18" i="5"/>
  <c r="I26" i="5" s="1"/>
  <c r="I44" i="5" s="1"/>
  <c r="I52" i="5" s="1"/>
  <c r="I56" i="5" s="1"/>
  <c r="I77" i="5" s="1"/>
  <c r="I78" i="5" s="1"/>
  <c r="I87" i="5" s="1"/>
  <c r="E19" i="5"/>
  <c r="I45" i="5"/>
  <c r="U24" i="5"/>
  <c r="N115" i="5"/>
  <c r="C18" i="5"/>
  <c r="C26" i="5" s="1"/>
  <c r="C44" i="5" s="1"/>
  <c r="C52" i="5" s="1"/>
  <c r="C56" i="5" s="1"/>
  <c r="C77" i="5" s="1"/>
  <c r="C78" i="5" s="1"/>
  <c r="C87" i="5" s="1"/>
  <c r="J109" i="5"/>
  <c r="B72" i="5"/>
  <c r="B89" i="5" s="1"/>
  <c r="H93" i="5"/>
  <c r="H103" i="5" s="1"/>
  <c r="H77" i="5"/>
  <c r="H78" i="5" s="1"/>
  <c r="H87" i="5" s="1"/>
  <c r="M93" i="5"/>
  <c r="M103" i="5" s="1"/>
  <c r="M117" i="5" s="1"/>
  <c r="M77" i="5"/>
  <c r="M78" i="5" s="1"/>
  <c r="M87" i="5" s="1"/>
  <c r="L77" i="5"/>
  <c r="L78" i="5" s="1"/>
  <c r="L87" i="5" s="1"/>
  <c r="N57" i="5"/>
  <c r="D19" i="5"/>
  <c r="E27" i="5"/>
  <c r="M45" i="5"/>
  <c r="N45" i="5"/>
  <c r="M57" i="5"/>
  <c r="U18" i="5"/>
  <c r="U26" i="5" s="1"/>
  <c r="F19" i="5"/>
  <c r="G27" i="5"/>
  <c r="U45" i="5"/>
  <c r="J57" i="5"/>
  <c r="D115" i="5"/>
  <c r="K45" i="5"/>
  <c r="L45" i="5"/>
  <c r="H27" i="5"/>
  <c r="L57" i="5"/>
  <c r="K18" i="5"/>
  <c r="K26" i="5" s="1"/>
  <c r="K44" i="5" s="1"/>
  <c r="K52" i="5" s="1"/>
  <c r="K56" i="5" s="1"/>
  <c r="J45" i="5"/>
  <c r="C109" i="5"/>
  <c r="I27" i="5"/>
  <c r="U118" i="5"/>
  <c r="K57" i="5"/>
  <c r="J18" i="5"/>
  <c r="J26" i="5" s="1"/>
  <c r="J44" i="5" s="1"/>
  <c r="J52" i="5" s="1"/>
  <c r="J56" i="5" s="1"/>
  <c r="J27" i="5"/>
  <c r="U44" i="5" l="1"/>
  <c r="U52" i="5" s="1"/>
  <c r="U56" i="5" s="1"/>
  <c r="U77" i="5" s="1"/>
  <c r="U78" i="5" s="1"/>
  <c r="U87" i="5" s="1"/>
  <c r="O69" i="5"/>
  <c r="O70" i="5" s="1"/>
  <c r="O72" i="5" s="1"/>
  <c r="O89" i="5" s="1"/>
  <c r="O121" i="5"/>
  <c r="P118" i="5"/>
  <c r="P119" i="5" s="1"/>
  <c r="N93" i="5"/>
  <c r="N103" i="5" s="1"/>
  <c r="N117" i="5" s="1"/>
  <c r="G93" i="5"/>
  <c r="G103" i="5" s="1"/>
  <c r="G117" i="5" s="1"/>
  <c r="E77" i="5"/>
  <c r="E78" i="5" s="1"/>
  <c r="E87" i="5" s="1"/>
  <c r="D77" i="5"/>
  <c r="D78" i="5" s="1"/>
  <c r="D87" i="5" s="1"/>
  <c r="C93" i="5"/>
  <c r="C103" i="5" s="1"/>
  <c r="I93" i="5"/>
  <c r="I103" i="5" s="1"/>
  <c r="I117" i="5" s="1"/>
  <c r="F77" i="5"/>
  <c r="F78" i="5" s="1"/>
  <c r="F87" i="5" s="1"/>
  <c r="U109" i="5"/>
  <c r="H117" i="5"/>
  <c r="K77" i="5"/>
  <c r="K78" i="5" s="1"/>
  <c r="K87" i="5" s="1"/>
  <c r="K93" i="5"/>
  <c r="K103" i="5" s="1"/>
  <c r="K117" i="5" s="1"/>
  <c r="J93" i="5"/>
  <c r="J103" i="5" s="1"/>
  <c r="J117" i="5" s="1"/>
  <c r="J77" i="5"/>
  <c r="J78" i="5" s="1"/>
  <c r="J87" i="5" s="1"/>
  <c r="C117" i="5"/>
  <c r="C119" i="5" s="1"/>
  <c r="D117" i="5"/>
  <c r="U93" i="5" l="1"/>
  <c r="U103" i="5" s="1"/>
  <c r="U117" i="5" s="1"/>
  <c r="U119" i="5" s="1"/>
  <c r="U69" i="5" s="1"/>
  <c r="U70" i="5" s="1"/>
  <c r="U72" i="5" s="1"/>
  <c r="U89" i="5" s="1"/>
  <c r="P69" i="5"/>
  <c r="P70" i="5" s="1"/>
  <c r="P72" i="5" s="1"/>
  <c r="P89" i="5" s="1"/>
  <c r="Q118" i="5"/>
  <c r="Q119" i="5" s="1"/>
  <c r="C69" i="5"/>
  <c r="C70" i="5" s="1"/>
  <c r="C72" i="5" s="1"/>
  <c r="C89" i="5" s="1"/>
  <c r="D118" i="5"/>
  <c r="D119" i="5" s="1"/>
  <c r="Q69" i="5" l="1"/>
  <c r="Q70" i="5" s="1"/>
  <c r="Q72" i="5" s="1"/>
  <c r="Q89" i="5" s="1"/>
  <c r="Q121" i="5"/>
  <c r="R118" i="5"/>
  <c r="R119" i="5" s="1"/>
  <c r="P121" i="5"/>
  <c r="D69" i="5"/>
  <c r="D70" i="5" s="1"/>
  <c r="D72" i="5" s="1"/>
  <c r="D89" i="5" s="1"/>
  <c r="E118" i="5"/>
  <c r="E119" i="5" s="1"/>
  <c r="D121" i="5"/>
  <c r="U121" i="5"/>
  <c r="C121" i="5"/>
  <c r="R69" i="5" l="1"/>
  <c r="R70" i="5" s="1"/>
  <c r="R72" i="5" s="1"/>
  <c r="R89" i="5" s="1"/>
  <c r="S118" i="5"/>
  <c r="S119" i="5" s="1"/>
  <c r="E69" i="5"/>
  <c r="E70" i="5" s="1"/>
  <c r="E72" i="5" s="1"/>
  <c r="E89" i="5" s="1"/>
  <c r="E121" i="5"/>
  <c r="F118" i="5"/>
  <c r="F119" i="5" s="1"/>
  <c r="S69" i="5" l="1"/>
  <c r="S70" i="5" s="1"/>
  <c r="S72" i="5" s="1"/>
  <c r="S89" i="5" s="1"/>
  <c r="T118" i="5"/>
  <c r="T119" i="5" s="1"/>
  <c r="R121" i="5"/>
  <c r="G118" i="5"/>
  <c r="G119" i="5" s="1"/>
  <c r="F69" i="5"/>
  <c r="F70" i="5" s="1"/>
  <c r="F72" i="5" s="1"/>
  <c r="F89" i="5" s="1"/>
  <c r="T69" i="5" l="1"/>
  <c r="T70" i="5" s="1"/>
  <c r="T72" i="5" s="1"/>
  <c r="T89" i="5" s="1"/>
  <c r="S121" i="5"/>
  <c r="F121" i="5"/>
  <c r="H118" i="5"/>
  <c r="H119" i="5" s="1"/>
  <c r="G69" i="5"/>
  <c r="G70" i="5" s="1"/>
  <c r="G72" i="5" s="1"/>
  <c r="G89" i="5" s="1"/>
  <c r="T121" i="5" l="1"/>
  <c r="G121" i="5"/>
  <c r="H69" i="5"/>
  <c r="H70" i="5" s="1"/>
  <c r="H72" i="5" s="1"/>
  <c r="H89" i="5" s="1"/>
  <c r="I118" i="5"/>
  <c r="I119" i="5" s="1"/>
  <c r="I69" i="5" l="1"/>
  <c r="I70" i="5" s="1"/>
  <c r="I72" i="5" s="1"/>
  <c r="I89" i="5" s="1"/>
  <c r="J118" i="5"/>
  <c r="J119" i="5" s="1"/>
  <c r="H121" i="5"/>
  <c r="I121" i="5" l="1"/>
  <c r="J69" i="5"/>
  <c r="J70" i="5" s="1"/>
  <c r="J72" i="5" s="1"/>
  <c r="J89" i="5" s="1"/>
  <c r="K118" i="5"/>
  <c r="K119" i="5" s="1"/>
  <c r="J121" i="5" l="1"/>
  <c r="K69" i="5"/>
  <c r="K70" i="5" s="1"/>
  <c r="K72" i="5" s="1"/>
  <c r="K89" i="5" s="1"/>
  <c r="K121" i="5"/>
  <c r="L118" i="5"/>
  <c r="L119" i="5" s="1"/>
  <c r="M118" i="5" l="1"/>
  <c r="M119" i="5" s="1"/>
  <c r="L69" i="5"/>
  <c r="L70" i="5" s="1"/>
  <c r="L72" i="5" s="1"/>
  <c r="L89" i="5" s="1"/>
  <c r="L121" i="5" l="1"/>
  <c r="N118" i="5"/>
  <c r="N119" i="5" s="1"/>
  <c r="M69" i="5"/>
  <c r="M70" i="5" s="1"/>
  <c r="M72" i="5" s="1"/>
  <c r="M89" i="5" s="1"/>
  <c r="M121" i="5"/>
  <c r="N69" i="5" l="1"/>
  <c r="N70" i="5" s="1"/>
  <c r="N72" i="5" s="1"/>
  <c r="N89" i="5" s="1"/>
  <c r="N121" i="5" l="1"/>
</calcChain>
</file>

<file path=xl/sharedStrings.xml><?xml version="1.0" encoding="utf-8"?>
<sst xmlns="http://schemas.openxmlformats.org/spreadsheetml/2006/main" count="101" uniqueCount="100">
  <si>
    <t>Tili / Rivi</t>
  </si>
  <si>
    <t>Alkusaldo</t>
  </si>
  <si>
    <t>YHT</t>
  </si>
  <si>
    <t>TULOSLASKELMA</t>
  </si>
  <si>
    <t>3000–3999  Liikevaihto</t>
  </si>
  <si>
    <t>3900       Muut liiketoiminnan tuotot</t>
  </si>
  <si>
    <t>LIIKEVAIHTO YHTEENSÄ</t>
  </si>
  <si>
    <t>Materiaalit ja palvelut</t>
  </si>
  <si>
    <t>4000–4999  Aineet ja tarvikkeet</t>
  </si>
  <si>
    <t>5000–5499  Ulkopuoliset palvelut</t>
  </si>
  <si>
    <t>Materiaalit ja palvelut yhteensä</t>
  </si>
  <si>
    <t>MYYNTIKATE</t>
  </si>
  <si>
    <t>Myyntikate-%</t>
  </si>
  <si>
    <t>Henkilöstökulut</t>
  </si>
  <si>
    <t>6000–6499  Palkat ja palkkiot</t>
  </si>
  <si>
    <t>6500–6999  Henkilösivukulut</t>
  </si>
  <si>
    <t>Henkilöstökulut yhteensä</t>
  </si>
  <si>
    <t>EBITDA</t>
  </si>
  <si>
    <t>EBITDA-%</t>
  </si>
  <si>
    <t>Poistot</t>
  </si>
  <si>
    <t>6800  Poistot aineettomista hyödykkeistä</t>
  </si>
  <si>
    <t>6810  Poistot aineellisista hyödykkeistä</t>
  </si>
  <si>
    <t>Poistot yhteensä</t>
  </si>
  <si>
    <t>Liiketoiminnan muut kulut</t>
  </si>
  <si>
    <t>7000–7099  Toimitilakulut</t>
  </si>
  <si>
    <t>7100–7199  Ajoneuvokulut</t>
  </si>
  <si>
    <t>7200–7299  IT- ja ohjelmistokulut</t>
  </si>
  <si>
    <t>7300–7399  Markkinointikulut</t>
  </si>
  <si>
    <t>7400–7499  Matkakulut</t>
  </si>
  <si>
    <t>7500–7699  Hallinto- ja toimistokulut</t>
  </si>
  <si>
    <t>7700–7999  Muut liikekulut</t>
  </si>
  <si>
    <t>Liiketoiminnan muut kulut yhteensä</t>
  </si>
  <si>
    <t>LIIKEVOITTO (EBIT)</t>
  </si>
  <si>
    <t>EBIT-%</t>
  </si>
  <si>
    <t>Rahoituserät</t>
  </si>
  <si>
    <t>8000–8099  Rahoitustuotot</t>
  </si>
  <si>
    <t>8100–8499  Rahoituskulut</t>
  </si>
  <si>
    <t>Rahoituserät netto</t>
  </si>
  <si>
    <t>VOITTO ENNEN VEROJA (EBT)</t>
  </si>
  <si>
    <t>8900–8999  Tuloverot</t>
  </si>
  <si>
    <t>TILIKAUDEN TULOS</t>
  </si>
  <si>
    <t>Nettotulos-%</t>
  </si>
  <si>
    <t>TASE — VASTAAVAA (kauden lopun saldo)</t>
  </si>
  <si>
    <t>1000–1099  Aineettomat hyödykkeet</t>
  </si>
  <si>
    <t>1100–1299  Aineelliset hyödykkeet</t>
  </si>
  <si>
    <t>1300–1499  Sijoitukset</t>
  </si>
  <si>
    <t>Pysyvät vastaavat yhteensä</t>
  </si>
  <si>
    <t>1500–1599  Vaihto-omaisuus</t>
  </si>
  <si>
    <t>1600–1699  Myyntisaamiset</t>
  </si>
  <si>
    <t>1700–1799  Siirtosaamiset</t>
  </si>
  <si>
    <t>1800–1899  Muut saamiset</t>
  </si>
  <si>
    <t>1900–1999  Rahat ja pankkisaamiset</t>
  </si>
  <si>
    <t>Vaihtuvat vastaavat yhteensä</t>
  </si>
  <si>
    <t>VASTAAVAA YHTEENSÄ</t>
  </si>
  <si>
    <t>TASE — VASTATTAVAA</t>
  </si>
  <si>
    <t>2000       Osakepääoma</t>
  </si>
  <si>
    <t>2100–2199  Kertyneet voittovarat</t>
  </si>
  <si>
    <t xml:space="preserve">  Tilikauden tulos</t>
  </si>
  <si>
    <t>Oma pääoma yhteensä</t>
  </si>
  <si>
    <t>2500–2599  Pitkäaikaiset lainat</t>
  </si>
  <si>
    <t>2600–2699  Lyhytaikaiset lainat</t>
  </si>
  <si>
    <t>2700–2799  Ostovelat</t>
  </si>
  <si>
    <t>2800–2899  Siirtovelat</t>
  </si>
  <si>
    <t>2900–2999  Muut velat</t>
  </si>
  <si>
    <t>Vieras pääoma yhteensä</t>
  </si>
  <si>
    <t>VASTATTAVAA YHTEENSÄ</t>
  </si>
  <si>
    <t>✓ Taseen täsmäytys (0 = ok)</t>
  </si>
  <si>
    <t>KASSAVIRTALASKELMA (epäsuora)</t>
  </si>
  <si>
    <t>Operatiivinen kassavirta</t>
  </si>
  <si>
    <t xml:space="preserve">  Poistot (+)</t>
  </si>
  <si>
    <t xml:space="preserve">  Käyttöpääoman muutos:</t>
  </si>
  <si>
    <t xml:space="preserve">    Vaihto-omaisuus (±)</t>
  </si>
  <si>
    <t xml:space="preserve">    Myyntisaamiset (±)</t>
  </si>
  <si>
    <t xml:space="preserve">    Siirtosaamiset (±)</t>
  </si>
  <si>
    <t xml:space="preserve">    Muut saamiset (±)</t>
  </si>
  <si>
    <t xml:space="preserve">    Ostovelat (±)</t>
  </si>
  <si>
    <t xml:space="preserve">    Siirtovelat (±)</t>
  </si>
  <si>
    <t xml:space="preserve">    Muut velat (±)</t>
  </si>
  <si>
    <t>OPERATIIVINEN KASSAVIRTA</t>
  </si>
  <si>
    <t>Investointien kassavirta</t>
  </si>
  <si>
    <t xml:space="preserve">  Aineettomat hyödykkeet (±)</t>
  </si>
  <si>
    <t xml:space="preserve">  Aineelliset hyödykkeet (±)</t>
  </si>
  <si>
    <t xml:space="preserve">  Sijoitukset (±)</t>
  </si>
  <si>
    <t>INVESTOINTIEN KASSAVIRTA</t>
  </si>
  <si>
    <t>Rahoituksen kassavirta</t>
  </si>
  <si>
    <t xml:space="preserve">  Oman pääoman muutos (±)</t>
  </si>
  <si>
    <t xml:space="preserve">  Pitkäaikaiset lainat (±)</t>
  </si>
  <si>
    <t xml:space="preserve">  Lyhytaikaiset lainat (±)</t>
  </si>
  <si>
    <t>RAHOITUKSEN KASSAVIRTA</t>
  </si>
  <si>
    <t>KASSAVIRTA YHTEENSÄ</t>
  </si>
  <si>
    <t>Rahavarat kauden alussa</t>
  </si>
  <si>
    <t>RAHAVARAT KAUDEN LOPUSSA</t>
  </si>
  <si>
    <t>✓ Kassavirran täsmäytys (0 = ok)</t>
  </si>
  <si>
    <t>All elimination entries must net to zero on Balance Sheet</t>
  </si>
  <si>
    <t>Vuosi</t>
  </si>
  <si>
    <t>Aloituskuukausi</t>
  </si>
  <si>
    <t>Tilikauden pituus</t>
  </si>
  <si>
    <t>Table type</t>
  </si>
  <si>
    <t>Elimination</t>
  </si>
  <si>
    <t>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</si>
</sst>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&quot;-&quot;"/>
    <numFmt numFmtId="165" formatCode="#,##0;\(#,##0\);\-"/>
    <numFmt numFmtId="166" formatCode="0.0%"/>
  </numFmts>
  <fonts count="18" x14ac:knownFonts="1">
    <font>
      <sz val="11"/>
      <color theme="1"/>
      <name val="Aptos Narrow"/>
      <family val="2"/>
      <scheme val="minor"/>
    </font>
    <font>
      <sz val="11"/>
      <color rgb="FF1E293B"/>
      <name val="Aptos Narrow"/>
      <scheme val="minor"/>
    </font>
    <font>
      <b/>
      <sz val="11"/>
      <color rgb="FF1E293B"/>
      <name val="Aptos Narrow"/>
      <scheme val="minor"/>
    </font>
    <font>
      <b/>
      <sz val="14"/>
      <color rgb="FF0F1E30"/>
      <name val="Aptos Narrow"/>
      <scheme val="minor"/>
    </font>
    <font>
      <i/>
      <sz val="10"/>
      <color rgb="FF64748B"/>
      <name val="Aptos Narrow"/>
      <scheme val="minor"/>
    </font>
    <font>
      <b/>
      <sz val="11"/>
      <color rgb="FFFFFFFF"/>
      <name val="Aptos Narrow"/>
      <scheme val="minor"/>
    </font>
    <font>
      <sz val="8"/>
      <color rgb="FF94A3B8"/>
      <name val="Aptos Narrow"/>
      <scheme val="minor"/>
    </font>
    <font>
      <b/>
      <sz val="11"/>
      <color rgb="FF93C5FD"/>
      <name val="Aptos Narrow"/>
      <scheme val="minor"/>
    </font>
    <font>
      <sz val="11"/>
      <color rgb="FF0000FF"/>
      <name val="Aptos Narrow"/>
      <scheme val="minor"/>
    </font>
    <font>
      <sz val="11"/>
      <color rgb="FF000000"/>
      <name val="Aptos Narrow"/>
      <scheme val="minor"/>
    </font>
    <font>
      <sz val="11"/>
      <color rgb="FF008000"/>
      <name val="Aptos Narrow"/>
      <scheme val="minor"/>
    </font>
    <font>
      <b/>
      <sz val="11"/>
      <color rgb="FF000000"/>
      <name val="Aptos Narrow"/>
      <scheme val="minor"/>
    </font>
    <font>
      <i/>
      <sz val="8"/>
      <color rgb="FF64748B"/>
      <name val="Aptos Narrow"/>
      <scheme val="minor"/>
    </font>
    <font>
      <b/>
      <sz val="11"/>
      <color rgb="FF0F2D52"/>
      <name val="Aptos Narrow"/>
      <scheme val="minor"/>
    </font>
    <font>
      <b/>
      <sz val="11"/>
      <color rgb="FF15803D"/>
      <name val="Aptos Narrow"/>
      <scheme val="minor"/>
    </font>
    <font>
      <b/>
      <sz val="11"/>
      <color rgb="FF0000FF"/>
      <name val="Aptos Narrow"/>
      <scheme val="minor"/>
    </font>
    <font>
      <i/>
      <sz val="9"/>
      <color rgb="FF64748B"/>
      <name val="Aptos Narrow"/>
      <scheme val="minor"/>
    </font>
    <font>
      <i/>
      <sz val="8"/>
      <color rgb="FF94A3B8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0F2D52"/>
        <bgColor indexed="64"/>
      </patternFill>
    </fill>
    <fill>
      <patternFill patternType="solid">
        <fgColor rgb="FF0F1E30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E2E8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 applyProtection="1"/>
    <xf numFmtId="0" fontId="1" fillId="0" borderId="0" xfId="0" applyFont="1" applyProtection="1"/>
    <xf numFmtId="0" fontId="4" fillId="0" borderId="0" xfId="0" applyFont="1" applyProtection="1"/>
    <xf numFmtId="0" fontId="15" fillId="5" borderId="0" xfId="0" applyFont="1" applyFill="1" applyProtection="1"/>
    <xf numFmtId="0" fontId="16" fillId="0" borderId="0" xfId="0" applyFont="1" applyProtection="1"/>
    <xf numFmtId="0" fontId="17" fillId="0" borderId="0" xfId="0" applyFont="1" applyProtection="1"/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center"/>
    </xf>
    <xf numFmtId="0" fontId="5" fillId="3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2" fillId="0" borderId="0" xfId="0" applyFont="1" applyProtection="1"/>
    <xf numFmtId="165" fontId="8" fillId="5" borderId="0" xfId="0" applyNumberFormat="1" applyFont="1" applyFill="1" applyAlignment="1" applyProtection="1">
      <alignment horizontal="right"/>
    </xf>
    <xf numFmtId="165" fontId="9" fillId="0" borderId="0" xfId="0" applyNumberFormat="1" applyFont="1" applyAlignment="1" applyProtection="1">
      <alignment horizontal="right"/>
    </xf>
    <xf numFmtId="0" fontId="11" fillId="7" borderId="1" xfId="0" applyFont="1" applyFill="1" applyBorder="1" applyProtection="1"/>
    <xf numFmtId="165" fontId="11" fillId="7" borderId="1" xfId="0" applyNumberFormat="1" applyFont="1" applyFill="1" applyBorder="1" applyAlignment="1" applyProtection="1">
      <alignment horizontal="right"/>
    </xf>
    <xf numFmtId="165" fontId="7" fillId="4" borderId="0" xfId="0" applyNumberFormat="1" applyFont="1" applyFill="1" applyProtection="1"/>
    <xf numFmtId="0" fontId="12" fillId="0" borderId="0" xfId="0" applyFont="1" applyProtection="1"/>
    <xf numFmtId="166" fontId="12" fillId="0" borderId="0" xfId="0" applyNumberFormat="1" applyFont="1" applyAlignment="1" applyProtection="1">
      <alignment horizontal="right"/>
    </xf>
    <xf numFmtId="0" fontId="11" fillId="7" borderId="2" xfId="0" applyFont="1" applyFill="1" applyBorder="1" applyProtection="1"/>
    <xf numFmtId="165" fontId="11" fillId="7" borderId="2" xfId="0" applyNumberFormat="1" applyFont="1" applyFill="1" applyBorder="1" applyAlignment="1" applyProtection="1">
      <alignment horizontal="right"/>
    </xf>
    <xf numFmtId="165" fontId="10" fillId="6" borderId="0" xfId="0" applyNumberFormat="1" applyFont="1" applyFill="1" applyAlignment="1" applyProtection="1">
      <alignment horizontal="right"/>
    </xf>
    <xf numFmtId="0" fontId="14" fillId="0" borderId="0" xfId="0" applyFont="1" applyProtection="1"/>
    <xf numFmtId="165" fontId="14" fillId="0" borderId="0" xfId="0" applyNumberFormat="1" applyFont="1" applyAlignment="1" applyProtection="1">
      <alignment horizontal="right"/>
    </xf>
    <xf numFmtId="164" fontId="7" fillId="4" borderId="0" xfId="0" applyNumberFormat="1" applyFont="1" applyFill="1" applyProtection="1"/>
    <xf numFmtId="0" fontId="13" fillId="7" borderId="2" xfId="0" applyFont="1" applyFill="1" applyBorder="1" applyProtection="1"/>
    <xf numFmtId="165" fontId="13" fillId="7" borderId="2" xfId="0" applyNumberFormat="1" applyFont="1" applyFill="1" applyBorder="1" applyAlignment="1" applyProtection="1">
      <alignment horizontal="right"/>
    </xf>
    <xf numFmtId="1" fontId="15" fillId="5" borderId="0" xfId="0" applyNumberFormat="1" applyFont="1" applyFill="1" applyProtection="1">
      <protection locked="0"/>
    </xf>
    <xf numFmtId="0" fontId="15" fillId="5" borderId="0" xfId="0" applyFont="1" applyFill="1" applyProtection="1">
      <protection locked="0"/>
    </xf>
    <xf numFmtId="165" fontId="8" fillId="5" borderId="0" xfId="0" applyNumberFormat="1" applyFont="1" applyFill="1" applyAlignment="1" applyProtection="1">
      <alignment horizontal="right"/>
      <protection locked="0"/>
    </xf>
    <xf numFmtId="165" fontId="1" fillId="0" borderId="0" xfId="0" applyNumberFormat="1" applyFont="1" applyAlignment="1" applyProtection="1">
      <alignment horizontal="right"/>
      <protection locked="0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20B45B-0EDA-478F-B868-0BB77347631E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F80CF-F788-470C-8BF0-8CE449AD21C5}">
  <dimension ref="A1:U121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J3" sqref="J3"/>
    </sheetView>
  </sheetViews>
  <sheetFormatPr defaultRowHeight="14.4" x14ac:dyDescent="0.3"/>
  <cols>
    <col min="1" max="1" width="51.88671875" customWidth="1"/>
    <col min="2" max="2" width="16.6640625" customWidth="1"/>
    <col min="3" max="20" width="14.77734375" customWidth="1"/>
    <col min="21" max="21" width="16.6640625" customWidth="1"/>
  </cols>
  <sheetData>
    <row r="1" spans="1:21" ht="18" x14ac:dyDescent="0.35">
      <c r="A1" s="1" t="str">
        <f>"Eliminations — "&amp;A3&amp;" Import Template · "&amp;TEXT(D3,"0")</f>
        <v>Eliminations — FC Import Template · 2026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">
      <c r="A2" s="3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s="30" t="s">
        <v>99</v>
      </c>
      <c r="B3" s="2"/>
      <c r="C3" s="5" t="s">
        <v>94</v>
      </c>
      <c r="D3" s="29">
        <v>2026</v>
      </c>
      <c r="E3" s="5" t="s">
        <v>95</v>
      </c>
      <c r="F3" s="30">
        <v>4</v>
      </c>
      <c r="G3" s="5" t="s">
        <v>96</v>
      </c>
      <c r="H3" s="30">
        <v>14</v>
      </c>
      <c r="I3" s="5" t="s">
        <v>97</v>
      </c>
      <c r="J3" s="4" t="s">
        <v>98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3">
      <c r="A5" s="6" t="str">
        <f>"type:"&amp;A3&amp;"  year:"&amp;TEXT(D3,"0")&amp;"  start_month:"&amp;TEXT(F3,"0")&amp;"  length:"&amp;TEXT(H3,"0")&amp;"  [ÄLÄ MUOKKAA]"</f>
        <v>type:FC  year:2026  start_month:4  length:14  [ÄLÄ MUOKKAA]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3">
      <c r="A6" s="7" t="s">
        <v>0</v>
      </c>
      <c r="B6" s="8" t="s">
        <v>1</v>
      </c>
      <c r="C6" s="8" t="str">
        <f>IF(COLUMNS($C6:C6)&lt;=$H$3,CHOOSE(MOD($F$3+COLUMNS($C6:C6)-2,12)+1,"Jan","Feb","Mar","Apr","May","Jun","Jul","Aug","Sep","Oct","Nov","Dec"),"")</f>
        <v>Apr</v>
      </c>
      <c r="D6" s="8" t="str">
        <f>IF(COLUMNS($C6:D6)&lt;=$H$3,CHOOSE(MOD($F$3+COLUMNS($C6:D6)-2,12)+1,"Jan","Feb","Mar","Apr","May","Jun","Jul","Aug","Sep","Oct","Nov","Dec"),"")</f>
        <v>May</v>
      </c>
      <c r="E6" s="8" t="str">
        <f>IF(COLUMNS($C6:E6)&lt;=$H$3,CHOOSE(MOD($F$3+COLUMNS($C6:E6)-2,12)+1,"Jan","Feb","Mar","Apr","May","Jun","Jul","Aug","Sep","Oct","Nov","Dec"),"")</f>
        <v>Jun</v>
      </c>
      <c r="F6" s="8" t="str">
        <f>IF(COLUMNS($C6:F6)&lt;=$H$3,CHOOSE(MOD($F$3+COLUMNS($C6:F6)-2,12)+1,"Jan","Feb","Mar","Apr","May","Jun","Jul","Aug","Sep","Oct","Nov","Dec"),"")</f>
        <v>Jul</v>
      </c>
      <c r="G6" s="8" t="str">
        <f>IF(COLUMNS($C6:G6)&lt;=$H$3,CHOOSE(MOD($F$3+COLUMNS($C6:G6)-2,12)+1,"Jan","Feb","Mar","Apr","May","Jun","Jul","Aug","Sep","Oct","Nov","Dec"),"")</f>
        <v>Aug</v>
      </c>
      <c r="H6" s="8" t="str">
        <f>IF(COLUMNS($C6:H6)&lt;=$H$3,CHOOSE(MOD($F$3+COLUMNS($C6:H6)-2,12)+1,"Jan","Feb","Mar","Apr","May","Jun","Jul","Aug","Sep","Oct","Nov","Dec"),"")</f>
        <v>Sep</v>
      </c>
      <c r="I6" s="8" t="str">
        <f>IF(COLUMNS($C6:I6)&lt;=$H$3,CHOOSE(MOD($F$3+COLUMNS($C6:I6)-2,12)+1,"Jan","Feb","Mar","Apr","May","Jun","Jul","Aug","Sep","Oct","Nov","Dec"),"")</f>
        <v>Oct</v>
      </c>
      <c r="J6" s="8" t="str">
        <f>IF(COLUMNS($C6:J6)&lt;=$H$3,CHOOSE(MOD($F$3+COLUMNS($C6:J6)-2,12)+1,"Jan","Feb","Mar","Apr","May","Jun","Jul","Aug","Sep","Oct","Nov","Dec"),"")</f>
        <v>Nov</v>
      </c>
      <c r="K6" s="8" t="str">
        <f>IF(COLUMNS($C6:K6)&lt;=$H$3,CHOOSE(MOD($F$3+COLUMNS($C6:K6)-2,12)+1,"Jan","Feb","Mar","Apr","May","Jun","Jul","Aug","Sep","Oct","Nov","Dec"),"")</f>
        <v>Dec</v>
      </c>
      <c r="L6" s="8" t="str">
        <f>IF(COLUMNS($C6:L6)&lt;=$H$3,CHOOSE(MOD($F$3+COLUMNS($C6:L6)-2,12)+1,"Jan","Feb","Mar","Apr","May","Jun","Jul","Aug","Sep","Oct","Nov","Dec"),"")</f>
        <v>Jan</v>
      </c>
      <c r="M6" s="8" t="str">
        <f>IF(COLUMNS($C6:M6)&lt;=$H$3,CHOOSE(MOD($F$3+COLUMNS($C6:M6)-2,12)+1,"Jan","Feb","Mar","Apr","May","Jun","Jul","Aug","Sep","Oct","Nov","Dec"),"")</f>
        <v>Feb</v>
      </c>
      <c r="N6" s="8" t="str">
        <f>IF(COLUMNS($C6:N6)&lt;=$H$3,CHOOSE(MOD($F$3+COLUMNS($C6:N6)-2,12)+1,"Jan","Feb","Mar","Apr","May","Jun","Jul","Aug","Sep","Oct","Nov","Dec"),"")</f>
        <v>Mar</v>
      </c>
      <c r="O6" s="8" t="str">
        <f>IF(COLUMNS($C6:O6)&lt;=$H$3,CHOOSE(MOD($F$3+COLUMNS($C6:O6)-2,12)+1,"Jan","Feb","Mar","Apr","May","Jun","Jul","Aug","Sep","Oct","Nov","Dec"),"")</f>
        <v>Apr</v>
      </c>
      <c r="P6" s="8" t="str">
        <f>IF(COLUMNS($C6:P6)&lt;=$H$3,CHOOSE(MOD($F$3+COLUMNS($C6:P6)-2,12)+1,"Jan","Feb","Mar","Apr","May","Jun","Jul","Aug","Sep","Oct","Nov","Dec"),"")</f>
        <v>May</v>
      </c>
      <c r="Q6" s="8" t="str">
        <f>IF(COLUMNS($C6:Q6)&lt;=$H$3,CHOOSE(MOD($F$3+COLUMNS($C6:Q6)-2,12)+1,"Jan","Feb","Mar","Apr","May","Jun","Jul","Aug","Sep","Oct","Nov","Dec"),"")</f>
        <v/>
      </c>
      <c r="R6" s="8" t="str">
        <f>IF(COLUMNS($C6:R6)&lt;=$H$3,CHOOSE(MOD($F$3+COLUMNS($C6:R6)-2,12)+1,"Jan","Feb","Mar","Apr","May","Jun","Jul","Aug","Sep","Oct","Nov","Dec"),"")</f>
        <v/>
      </c>
      <c r="S6" s="8" t="str">
        <f>IF(COLUMNS($C6:S6)&lt;=$H$3,CHOOSE(MOD($F$3+COLUMNS($C6:S6)-2,12)+1,"Jan","Feb","Mar","Apr","May","Jun","Jul","Aug","Sep","Oct","Nov","Dec"),"")</f>
        <v/>
      </c>
      <c r="T6" s="8" t="str">
        <f>IF(COLUMNS($C6:T6)&lt;=$H$3,CHOOSE(MOD($F$3+COLUMNS($C6:T6)-2,12)+1,"Jan","Feb","Mar","Apr","May","Jun","Jul","Aug","Sep","Oct","Nov","Dec"),"")</f>
        <v/>
      </c>
      <c r="U6" s="9" t="s">
        <v>2</v>
      </c>
    </row>
    <row r="7" spans="1:21" x14ac:dyDescent="0.3">
      <c r="A7" s="10"/>
      <c r="B7" s="10"/>
      <c r="C7" s="10" t="str">
        <f>IF(C6="","",TEXT($D$3+INT(($F$3+COLUMNS($C7:C7)-2)/12),"0"))</f>
        <v>2026</v>
      </c>
      <c r="D7" s="10" t="str">
        <f>IF(D6="","",TEXT($D$3+INT(($F$3+COLUMNS($C7:D7)-2)/12),"0"))</f>
        <v>2026</v>
      </c>
      <c r="E7" s="10" t="str">
        <f>IF(E6="","",TEXT($D$3+INT(($F$3+COLUMNS($C7:E7)-2)/12),"0"))</f>
        <v>2026</v>
      </c>
      <c r="F7" s="10" t="str">
        <f>IF(F6="","",TEXT($D$3+INT(($F$3+COLUMNS($C7:F7)-2)/12),"0"))</f>
        <v>2026</v>
      </c>
      <c r="G7" s="10" t="str">
        <f>IF(G6="","",TEXT($D$3+INT(($F$3+COLUMNS($C7:G7)-2)/12),"0"))</f>
        <v>2026</v>
      </c>
      <c r="H7" s="10" t="str">
        <f>IF(H6="","",TEXT($D$3+INT(($F$3+COLUMNS($C7:H7)-2)/12),"0"))</f>
        <v>2026</v>
      </c>
      <c r="I7" s="10" t="str">
        <f>IF(I6="","",TEXT($D$3+INT(($F$3+COLUMNS($C7:I7)-2)/12),"0"))</f>
        <v>2026</v>
      </c>
      <c r="J7" s="10" t="str">
        <f>IF(J6="","",TEXT($D$3+INT(($F$3+COLUMNS($C7:J7)-2)/12),"0"))</f>
        <v>2026</v>
      </c>
      <c r="K7" s="10" t="str">
        <f>IF(K6="","",TEXT($D$3+INT(($F$3+COLUMNS($C7:K7)-2)/12),"0"))</f>
        <v>2026</v>
      </c>
      <c r="L7" s="10" t="str">
        <f>IF(L6="","",TEXT($D$3+INT(($F$3+COLUMNS($C7:L7)-2)/12),"0"))</f>
        <v>2027</v>
      </c>
      <c r="M7" s="10" t="str">
        <f>IF(M6="","",TEXT($D$3+INT(($F$3+COLUMNS($C7:M7)-2)/12),"0"))</f>
        <v>2027</v>
      </c>
      <c r="N7" s="10" t="str">
        <f>IF(N6="","",TEXT($D$3+INT(($F$3+COLUMNS($C7:N7)-2)/12),"0"))</f>
        <v>2027</v>
      </c>
      <c r="O7" s="10" t="str">
        <f>IF(O6="","",TEXT($D$3+INT(($F$3+COLUMNS($C7:O7)-2)/12),"0"))</f>
        <v>2027</v>
      </c>
      <c r="P7" s="10" t="str">
        <f>IF(P6="","",TEXT($D$3+INT(($F$3+COLUMNS($C7:P7)-2)/12),"0"))</f>
        <v>2027</v>
      </c>
      <c r="Q7" s="10" t="str">
        <f>IF(Q6="","",TEXT($D$3+INT(($F$3+COLUMNS($C7:Q7)-2)/12),"0"))</f>
        <v/>
      </c>
      <c r="R7" s="10" t="str">
        <f>IF(R6="","",TEXT($D$3+INT(($F$3+COLUMNS($C7:R7)-2)/12),"0"))</f>
        <v/>
      </c>
      <c r="S7" s="10" t="str">
        <f>IF(S6="","",TEXT($D$3+INT(($F$3+COLUMNS($C7:S7)-2)/12),"0"))</f>
        <v/>
      </c>
      <c r="T7" s="10" t="str">
        <f>IF(T6="","",TEXT($D$3+INT(($F$3+COLUMNS($C7:T7)-2)/12),"0"))</f>
        <v/>
      </c>
      <c r="U7" s="11"/>
    </row>
    <row r="8" spans="1:21" x14ac:dyDescent="0.3">
      <c r="A8" s="12" t="s">
        <v>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3">
      <c r="A9" s="13" t="s">
        <v>4</v>
      </c>
      <c r="B9" s="3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15">
        <f>SUM(C9:T9)</f>
        <v>0</v>
      </c>
    </row>
    <row r="10" spans="1:21" x14ac:dyDescent="0.3">
      <c r="A10" s="2" t="s">
        <v>5</v>
      </c>
      <c r="B10" s="32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15">
        <f>SUM(C10:T10)</f>
        <v>0</v>
      </c>
    </row>
    <row r="11" spans="1:21" x14ac:dyDescent="0.3">
      <c r="A11" s="16" t="s">
        <v>6</v>
      </c>
      <c r="B11" s="17"/>
      <c r="C11" s="17">
        <f t="shared" ref="C11:U11" si="0">C9+C10</f>
        <v>0</v>
      </c>
      <c r="D11" s="17">
        <f t="shared" si="0"/>
        <v>0</v>
      </c>
      <c r="E11" s="17">
        <f t="shared" si="0"/>
        <v>0</v>
      </c>
      <c r="F11" s="17">
        <f t="shared" si="0"/>
        <v>0</v>
      </c>
      <c r="G11" s="17">
        <f t="shared" si="0"/>
        <v>0</v>
      </c>
      <c r="H11" s="17">
        <f t="shared" si="0"/>
        <v>0</v>
      </c>
      <c r="I11" s="17">
        <f t="shared" si="0"/>
        <v>0</v>
      </c>
      <c r="J11" s="17">
        <f t="shared" si="0"/>
        <v>0</v>
      </c>
      <c r="K11" s="17">
        <f t="shared" si="0"/>
        <v>0</v>
      </c>
      <c r="L11" s="17">
        <f t="shared" si="0"/>
        <v>0</v>
      </c>
      <c r="M11" s="17">
        <f t="shared" si="0"/>
        <v>0</v>
      </c>
      <c r="N11" s="17">
        <f t="shared" si="0"/>
        <v>0</v>
      </c>
      <c r="O11" s="17">
        <f t="shared" ref="O11" si="1">O9+O10</f>
        <v>0</v>
      </c>
      <c r="P11" s="17">
        <f t="shared" ref="P11" si="2">P9+P10</f>
        <v>0</v>
      </c>
      <c r="Q11" s="17">
        <f t="shared" ref="Q11" si="3">Q9+Q10</f>
        <v>0</v>
      </c>
      <c r="R11" s="17">
        <f t="shared" ref="R11" si="4">R9+R10</f>
        <v>0</v>
      </c>
      <c r="S11" s="17">
        <f t="shared" ref="S11" si="5">S9+S10</f>
        <v>0</v>
      </c>
      <c r="T11" s="17">
        <f t="shared" ref="T11" si="6">T9+T10</f>
        <v>0</v>
      </c>
      <c r="U11" s="17">
        <f t="shared" si="0"/>
        <v>0</v>
      </c>
    </row>
    <row r="12" spans="1:2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3">
      <c r="A13" s="12" t="s">
        <v>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1:21" x14ac:dyDescent="0.3">
      <c r="A14" s="2" t="s">
        <v>8</v>
      </c>
      <c r="B14" s="32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15">
        <f>SUM(C14:T14)</f>
        <v>0</v>
      </c>
    </row>
    <row r="15" spans="1:21" x14ac:dyDescent="0.3">
      <c r="A15" s="2" t="s">
        <v>9</v>
      </c>
      <c r="B15" s="32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15">
        <f>SUM(C15:T15)</f>
        <v>0</v>
      </c>
    </row>
    <row r="16" spans="1:21" x14ac:dyDescent="0.3">
      <c r="A16" s="16" t="s">
        <v>10</v>
      </c>
      <c r="B16" s="17"/>
      <c r="C16" s="17">
        <f t="shared" ref="C16:U16" si="7">C14+C15</f>
        <v>0</v>
      </c>
      <c r="D16" s="17">
        <f t="shared" si="7"/>
        <v>0</v>
      </c>
      <c r="E16" s="17">
        <f t="shared" si="7"/>
        <v>0</v>
      </c>
      <c r="F16" s="17">
        <f t="shared" si="7"/>
        <v>0</v>
      </c>
      <c r="G16" s="17">
        <f t="shared" si="7"/>
        <v>0</v>
      </c>
      <c r="H16" s="17">
        <f t="shared" si="7"/>
        <v>0</v>
      </c>
      <c r="I16" s="17">
        <f t="shared" si="7"/>
        <v>0</v>
      </c>
      <c r="J16" s="17">
        <f t="shared" si="7"/>
        <v>0</v>
      </c>
      <c r="K16" s="17">
        <f t="shared" si="7"/>
        <v>0</v>
      </c>
      <c r="L16" s="17">
        <f t="shared" si="7"/>
        <v>0</v>
      </c>
      <c r="M16" s="17">
        <f t="shared" si="7"/>
        <v>0</v>
      </c>
      <c r="N16" s="17">
        <f t="shared" si="7"/>
        <v>0</v>
      </c>
      <c r="O16" s="17">
        <f t="shared" ref="O16" si="8">O14+O15</f>
        <v>0</v>
      </c>
      <c r="P16" s="17">
        <f t="shared" ref="P16" si="9">P14+P15</f>
        <v>0</v>
      </c>
      <c r="Q16" s="17">
        <f t="shared" ref="Q16" si="10">Q14+Q15</f>
        <v>0</v>
      </c>
      <c r="R16" s="17">
        <f t="shared" ref="R16" si="11">R14+R15</f>
        <v>0</v>
      </c>
      <c r="S16" s="17">
        <f t="shared" ref="S16" si="12">S14+S15</f>
        <v>0</v>
      </c>
      <c r="T16" s="17">
        <f t="shared" ref="T16" si="13">T14+T15</f>
        <v>0</v>
      </c>
      <c r="U16" s="17">
        <f t="shared" si="7"/>
        <v>0</v>
      </c>
    </row>
    <row r="17" spans="1:2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3">
      <c r="A18" s="16" t="s">
        <v>11</v>
      </c>
      <c r="B18" s="17"/>
      <c r="C18" s="17">
        <f t="shared" ref="C18:U18" si="14">C11-C16</f>
        <v>0</v>
      </c>
      <c r="D18" s="17">
        <f t="shared" si="14"/>
        <v>0</v>
      </c>
      <c r="E18" s="17">
        <f t="shared" si="14"/>
        <v>0</v>
      </c>
      <c r="F18" s="17">
        <f t="shared" si="14"/>
        <v>0</v>
      </c>
      <c r="G18" s="17">
        <f t="shared" si="14"/>
        <v>0</v>
      </c>
      <c r="H18" s="17">
        <f t="shared" si="14"/>
        <v>0</v>
      </c>
      <c r="I18" s="17">
        <f t="shared" si="14"/>
        <v>0</v>
      </c>
      <c r="J18" s="17">
        <f t="shared" si="14"/>
        <v>0</v>
      </c>
      <c r="K18" s="17">
        <f t="shared" si="14"/>
        <v>0</v>
      </c>
      <c r="L18" s="17">
        <f t="shared" si="14"/>
        <v>0</v>
      </c>
      <c r="M18" s="17">
        <f t="shared" si="14"/>
        <v>0</v>
      </c>
      <c r="N18" s="17">
        <f t="shared" si="14"/>
        <v>0</v>
      </c>
      <c r="O18" s="17">
        <f t="shared" ref="O18:T18" si="15">O11-O16</f>
        <v>0</v>
      </c>
      <c r="P18" s="17">
        <f t="shared" si="15"/>
        <v>0</v>
      </c>
      <c r="Q18" s="17">
        <f t="shared" si="15"/>
        <v>0</v>
      </c>
      <c r="R18" s="17">
        <f t="shared" si="15"/>
        <v>0</v>
      </c>
      <c r="S18" s="17">
        <f t="shared" si="15"/>
        <v>0</v>
      </c>
      <c r="T18" s="17">
        <f t="shared" si="15"/>
        <v>0</v>
      </c>
      <c r="U18" s="17">
        <f t="shared" si="14"/>
        <v>0</v>
      </c>
    </row>
    <row r="19" spans="1:21" x14ac:dyDescent="0.3">
      <c r="A19" s="19" t="s">
        <v>12</v>
      </c>
      <c r="B19" s="19"/>
      <c r="C19" s="20" t="str">
        <f t="shared" ref="C19:U19" si="16">IF(C11=0,"-",C18/C11)</f>
        <v>-</v>
      </c>
      <c r="D19" s="20" t="str">
        <f t="shared" si="16"/>
        <v>-</v>
      </c>
      <c r="E19" s="20" t="str">
        <f t="shared" si="16"/>
        <v>-</v>
      </c>
      <c r="F19" s="20" t="str">
        <f t="shared" si="16"/>
        <v>-</v>
      </c>
      <c r="G19" s="20" t="str">
        <f t="shared" si="16"/>
        <v>-</v>
      </c>
      <c r="H19" s="20" t="str">
        <f t="shared" si="16"/>
        <v>-</v>
      </c>
      <c r="I19" s="20" t="str">
        <f t="shared" si="16"/>
        <v>-</v>
      </c>
      <c r="J19" s="20" t="str">
        <f t="shared" si="16"/>
        <v>-</v>
      </c>
      <c r="K19" s="20" t="str">
        <f t="shared" si="16"/>
        <v>-</v>
      </c>
      <c r="L19" s="20" t="str">
        <f t="shared" si="16"/>
        <v>-</v>
      </c>
      <c r="M19" s="20" t="str">
        <f t="shared" si="16"/>
        <v>-</v>
      </c>
      <c r="N19" s="20" t="str">
        <f t="shared" si="16"/>
        <v>-</v>
      </c>
      <c r="O19" s="20" t="str">
        <f t="shared" ref="O19" si="17">IF(O11=0,"-",O18/O11)</f>
        <v>-</v>
      </c>
      <c r="P19" s="20" t="str">
        <f t="shared" ref="P19" si="18">IF(P11=0,"-",P18/P11)</f>
        <v>-</v>
      </c>
      <c r="Q19" s="20" t="str">
        <f t="shared" ref="Q19" si="19">IF(Q11=0,"-",Q18/Q11)</f>
        <v>-</v>
      </c>
      <c r="R19" s="20" t="str">
        <f t="shared" ref="R19" si="20">IF(R11=0,"-",R18/R11)</f>
        <v>-</v>
      </c>
      <c r="S19" s="20" t="str">
        <f t="shared" ref="S19" si="21">IF(S11=0,"-",S18/S11)</f>
        <v>-</v>
      </c>
      <c r="T19" s="20" t="str">
        <f t="shared" ref="T19" si="22">IF(T11=0,"-",T18/T11)</f>
        <v>-</v>
      </c>
      <c r="U19" s="20" t="str">
        <f t="shared" si="16"/>
        <v>-</v>
      </c>
    </row>
    <row r="20" spans="1:2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3">
      <c r="A21" s="12" t="s">
        <v>13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spans="1:21" x14ac:dyDescent="0.3">
      <c r="A22" s="2" t="s">
        <v>14</v>
      </c>
      <c r="B22" s="3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15">
        <f>SUM(C22:T22)</f>
        <v>0</v>
      </c>
    </row>
    <row r="23" spans="1:21" x14ac:dyDescent="0.3">
      <c r="A23" s="2" t="s">
        <v>15</v>
      </c>
      <c r="B23" s="32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15">
        <f>SUM(C23:T23)</f>
        <v>0</v>
      </c>
    </row>
    <row r="24" spans="1:21" x14ac:dyDescent="0.3">
      <c r="A24" s="16" t="s">
        <v>16</v>
      </c>
      <c r="B24" s="17"/>
      <c r="C24" s="17">
        <f t="shared" ref="C24:U24" si="23">C22+C23</f>
        <v>0</v>
      </c>
      <c r="D24" s="17">
        <f t="shared" si="23"/>
        <v>0</v>
      </c>
      <c r="E24" s="17">
        <f t="shared" si="23"/>
        <v>0</v>
      </c>
      <c r="F24" s="17">
        <f t="shared" si="23"/>
        <v>0</v>
      </c>
      <c r="G24" s="17">
        <f t="shared" si="23"/>
        <v>0</v>
      </c>
      <c r="H24" s="17">
        <f t="shared" si="23"/>
        <v>0</v>
      </c>
      <c r="I24" s="17">
        <f t="shared" si="23"/>
        <v>0</v>
      </c>
      <c r="J24" s="17">
        <f t="shared" si="23"/>
        <v>0</v>
      </c>
      <c r="K24" s="17">
        <f t="shared" si="23"/>
        <v>0</v>
      </c>
      <c r="L24" s="17">
        <f t="shared" si="23"/>
        <v>0</v>
      </c>
      <c r="M24" s="17">
        <f t="shared" si="23"/>
        <v>0</v>
      </c>
      <c r="N24" s="17">
        <f t="shared" si="23"/>
        <v>0</v>
      </c>
      <c r="O24" s="17">
        <f t="shared" ref="O24" si="24">O22+O23</f>
        <v>0</v>
      </c>
      <c r="P24" s="17">
        <f t="shared" ref="P24" si="25">P22+P23</f>
        <v>0</v>
      </c>
      <c r="Q24" s="17">
        <f t="shared" ref="Q24" si="26">Q22+Q23</f>
        <v>0</v>
      </c>
      <c r="R24" s="17">
        <f t="shared" ref="R24" si="27">R22+R23</f>
        <v>0</v>
      </c>
      <c r="S24" s="17">
        <f t="shared" ref="S24" si="28">S22+S23</f>
        <v>0</v>
      </c>
      <c r="T24" s="17">
        <f t="shared" ref="T24" si="29">T22+T23</f>
        <v>0</v>
      </c>
      <c r="U24" s="17">
        <f t="shared" si="23"/>
        <v>0</v>
      </c>
    </row>
    <row r="25" spans="1:2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3">
      <c r="A26" s="16" t="s">
        <v>17</v>
      </c>
      <c r="B26" s="17"/>
      <c r="C26" s="17">
        <f t="shared" ref="C26:U26" si="30">C18-C24</f>
        <v>0</v>
      </c>
      <c r="D26" s="17">
        <f t="shared" si="30"/>
        <v>0</v>
      </c>
      <c r="E26" s="17">
        <f t="shared" si="30"/>
        <v>0</v>
      </c>
      <c r="F26" s="17">
        <f t="shared" si="30"/>
        <v>0</v>
      </c>
      <c r="G26" s="17">
        <f t="shared" si="30"/>
        <v>0</v>
      </c>
      <c r="H26" s="17">
        <f t="shared" si="30"/>
        <v>0</v>
      </c>
      <c r="I26" s="17">
        <f t="shared" si="30"/>
        <v>0</v>
      </c>
      <c r="J26" s="17">
        <f t="shared" si="30"/>
        <v>0</v>
      </c>
      <c r="K26" s="17">
        <f t="shared" si="30"/>
        <v>0</v>
      </c>
      <c r="L26" s="17">
        <f t="shared" si="30"/>
        <v>0</v>
      </c>
      <c r="M26" s="17">
        <f t="shared" si="30"/>
        <v>0</v>
      </c>
      <c r="N26" s="17">
        <f t="shared" si="30"/>
        <v>0</v>
      </c>
      <c r="O26" s="17">
        <f t="shared" ref="O26:T26" si="31">O18-O24</f>
        <v>0</v>
      </c>
      <c r="P26" s="17">
        <f t="shared" si="31"/>
        <v>0</v>
      </c>
      <c r="Q26" s="17">
        <f t="shared" si="31"/>
        <v>0</v>
      </c>
      <c r="R26" s="17">
        <f t="shared" si="31"/>
        <v>0</v>
      </c>
      <c r="S26" s="17">
        <f t="shared" si="31"/>
        <v>0</v>
      </c>
      <c r="T26" s="17">
        <f t="shared" si="31"/>
        <v>0</v>
      </c>
      <c r="U26" s="17">
        <f t="shared" si="30"/>
        <v>0</v>
      </c>
    </row>
    <row r="27" spans="1:21" x14ac:dyDescent="0.3">
      <c r="A27" s="19" t="s">
        <v>18</v>
      </c>
      <c r="B27" s="19"/>
      <c r="C27" s="20" t="str">
        <f t="shared" ref="C27:U27" si="32">IF(C11=0,"-",C26/C11)</f>
        <v>-</v>
      </c>
      <c r="D27" s="20" t="str">
        <f t="shared" si="32"/>
        <v>-</v>
      </c>
      <c r="E27" s="20" t="str">
        <f t="shared" si="32"/>
        <v>-</v>
      </c>
      <c r="F27" s="20" t="str">
        <f t="shared" si="32"/>
        <v>-</v>
      </c>
      <c r="G27" s="20" t="str">
        <f t="shared" si="32"/>
        <v>-</v>
      </c>
      <c r="H27" s="20" t="str">
        <f t="shared" si="32"/>
        <v>-</v>
      </c>
      <c r="I27" s="20" t="str">
        <f t="shared" si="32"/>
        <v>-</v>
      </c>
      <c r="J27" s="20" t="str">
        <f t="shared" si="32"/>
        <v>-</v>
      </c>
      <c r="K27" s="20" t="str">
        <f t="shared" si="32"/>
        <v>-</v>
      </c>
      <c r="L27" s="20" t="str">
        <f t="shared" si="32"/>
        <v>-</v>
      </c>
      <c r="M27" s="20" t="str">
        <f t="shared" si="32"/>
        <v>-</v>
      </c>
      <c r="N27" s="20" t="str">
        <f t="shared" si="32"/>
        <v>-</v>
      </c>
      <c r="O27" s="20" t="str">
        <f t="shared" ref="O27" si="33">IF(O11=0,"-",O26/O11)</f>
        <v>-</v>
      </c>
      <c r="P27" s="20" t="str">
        <f t="shared" ref="P27" si="34">IF(P11=0,"-",P26/P11)</f>
        <v>-</v>
      </c>
      <c r="Q27" s="20" t="str">
        <f t="shared" ref="Q27" si="35">IF(Q11=0,"-",Q26/Q11)</f>
        <v>-</v>
      </c>
      <c r="R27" s="20" t="str">
        <f t="shared" ref="R27" si="36">IF(R11=0,"-",R26/R11)</f>
        <v>-</v>
      </c>
      <c r="S27" s="20" t="str">
        <f t="shared" ref="S27" si="37">IF(S11=0,"-",S26/S11)</f>
        <v>-</v>
      </c>
      <c r="T27" s="20" t="str">
        <f t="shared" ref="T27" si="38">IF(T11=0,"-",T26/T11)</f>
        <v>-</v>
      </c>
      <c r="U27" s="20" t="str">
        <f t="shared" si="32"/>
        <v>-</v>
      </c>
    </row>
    <row r="28" spans="1:2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3">
      <c r="A29" s="12" t="s">
        <v>19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</row>
    <row r="30" spans="1:21" x14ac:dyDescent="0.3">
      <c r="A30" s="2" t="s">
        <v>20</v>
      </c>
      <c r="B30" s="32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15">
        <f>SUM(C30:T30)</f>
        <v>0</v>
      </c>
    </row>
    <row r="31" spans="1:21" x14ac:dyDescent="0.3">
      <c r="A31" s="2" t="s">
        <v>21</v>
      </c>
      <c r="B31" s="3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15">
        <f>SUM(C31:T31)</f>
        <v>0</v>
      </c>
    </row>
    <row r="32" spans="1:21" x14ac:dyDescent="0.3">
      <c r="A32" s="16" t="s">
        <v>22</v>
      </c>
      <c r="B32" s="17"/>
      <c r="C32" s="17">
        <f t="shared" ref="C32:U32" si="39">C30+C31</f>
        <v>0</v>
      </c>
      <c r="D32" s="17">
        <f t="shared" si="39"/>
        <v>0</v>
      </c>
      <c r="E32" s="17">
        <f t="shared" si="39"/>
        <v>0</v>
      </c>
      <c r="F32" s="17">
        <f t="shared" si="39"/>
        <v>0</v>
      </c>
      <c r="G32" s="17">
        <f t="shared" si="39"/>
        <v>0</v>
      </c>
      <c r="H32" s="17">
        <f t="shared" si="39"/>
        <v>0</v>
      </c>
      <c r="I32" s="17">
        <f t="shared" si="39"/>
        <v>0</v>
      </c>
      <c r="J32" s="17">
        <f t="shared" si="39"/>
        <v>0</v>
      </c>
      <c r="K32" s="17">
        <f t="shared" si="39"/>
        <v>0</v>
      </c>
      <c r="L32" s="17">
        <f t="shared" si="39"/>
        <v>0</v>
      </c>
      <c r="M32" s="17">
        <f t="shared" si="39"/>
        <v>0</v>
      </c>
      <c r="N32" s="17">
        <f t="shared" si="39"/>
        <v>0</v>
      </c>
      <c r="O32" s="17">
        <f t="shared" ref="O32" si="40">O30+O31</f>
        <v>0</v>
      </c>
      <c r="P32" s="17">
        <f t="shared" ref="P32" si="41">P30+P31</f>
        <v>0</v>
      </c>
      <c r="Q32" s="17">
        <f t="shared" ref="Q32" si="42">Q30+Q31</f>
        <v>0</v>
      </c>
      <c r="R32" s="17">
        <f t="shared" ref="R32" si="43">R30+R31</f>
        <v>0</v>
      </c>
      <c r="S32" s="17">
        <f t="shared" ref="S32" si="44">S30+S31</f>
        <v>0</v>
      </c>
      <c r="T32" s="17">
        <f t="shared" ref="T32" si="45">T30+T31</f>
        <v>0</v>
      </c>
      <c r="U32" s="17">
        <f t="shared" si="39"/>
        <v>0</v>
      </c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3">
      <c r="A34" s="12" t="s">
        <v>23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</row>
    <row r="35" spans="1:21" x14ac:dyDescent="0.3">
      <c r="A35" s="2" t="s">
        <v>24</v>
      </c>
      <c r="B35" s="3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15">
        <f t="shared" ref="U35:U41" si="46">SUM(C35:T35)</f>
        <v>0</v>
      </c>
    </row>
    <row r="36" spans="1:21" x14ac:dyDescent="0.3">
      <c r="A36" s="2" t="s">
        <v>25</v>
      </c>
      <c r="B36" s="32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15">
        <f t="shared" si="46"/>
        <v>0</v>
      </c>
    </row>
    <row r="37" spans="1:21" x14ac:dyDescent="0.3">
      <c r="A37" s="2" t="s">
        <v>26</v>
      </c>
      <c r="B37" s="3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15">
        <f t="shared" si="46"/>
        <v>0</v>
      </c>
    </row>
    <row r="38" spans="1:21" x14ac:dyDescent="0.3">
      <c r="A38" s="2" t="s">
        <v>27</v>
      </c>
      <c r="B38" s="32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15">
        <f t="shared" si="46"/>
        <v>0</v>
      </c>
    </row>
    <row r="39" spans="1:21" x14ac:dyDescent="0.3">
      <c r="A39" s="2" t="s">
        <v>28</v>
      </c>
      <c r="B39" s="3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15">
        <f t="shared" si="46"/>
        <v>0</v>
      </c>
    </row>
    <row r="40" spans="1:21" x14ac:dyDescent="0.3">
      <c r="A40" s="2" t="s">
        <v>29</v>
      </c>
      <c r="B40" s="32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15">
        <f t="shared" si="46"/>
        <v>0</v>
      </c>
    </row>
    <row r="41" spans="1:21" x14ac:dyDescent="0.3">
      <c r="A41" s="2" t="s">
        <v>30</v>
      </c>
      <c r="B41" s="3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15">
        <f t="shared" si="46"/>
        <v>0</v>
      </c>
    </row>
    <row r="42" spans="1:21" x14ac:dyDescent="0.3">
      <c r="A42" s="16" t="s">
        <v>31</v>
      </c>
      <c r="B42" s="17"/>
      <c r="C42" s="17">
        <f t="shared" ref="C42:U42" si="47">C35+C36+C37+C38+C39+C40+C41</f>
        <v>0</v>
      </c>
      <c r="D42" s="17">
        <f t="shared" si="47"/>
        <v>0</v>
      </c>
      <c r="E42" s="17">
        <f t="shared" si="47"/>
        <v>0</v>
      </c>
      <c r="F42" s="17">
        <f t="shared" si="47"/>
        <v>0</v>
      </c>
      <c r="G42" s="17">
        <f t="shared" si="47"/>
        <v>0</v>
      </c>
      <c r="H42" s="17">
        <f t="shared" si="47"/>
        <v>0</v>
      </c>
      <c r="I42" s="17">
        <f t="shared" si="47"/>
        <v>0</v>
      </c>
      <c r="J42" s="17">
        <f t="shared" si="47"/>
        <v>0</v>
      </c>
      <c r="K42" s="17">
        <f t="shared" si="47"/>
        <v>0</v>
      </c>
      <c r="L42" s="17">
        <f t="shared" si="47"/>
        <v>0</v>
      </c>
      <c r="M42" s="17">
        <f t="shared" si="47"/>
        <v>0</v>
      </c>
      <c r="N42" s="17">
        <f t="shared" si="47"/>
        <v>0</v>
      </c>
      <c r="O42" s="17">
        <f t="shared" ref="O42" si="48">O35+O36+O37+O38+O39+O40+O41</f>
        <v>0</v>
      </c>
      <c r="P42" s="17">
        <f t="shared" ref="P42" si="49">P35+P36+P37+P38+P39+P40+P41</f>
        <v>0</v>
      </c>
      <c r="Q42" s="17">
        <f t="shared" ref="Q42" si="50">Q35+Q36+Q37+Q38+Q39+Q40+Q41</f>
        <v>0</v>
      </c>
      <c r="R42" s="17">
        <f t="shared" ref="R42" si="51">R35+R36+R37+R38+R39+R40+R41</f>
        <v>0</v>
      </c>
      <c r="S42" s="17">
        <f t="shared" ref="S42" si="52">S35+S36+S37+S38+S39+S40+S41</f>
        <v>0</v>
      </c>
      <c r="T42" s="17">
        <f t="shared" ref="T42" si="53">T35+T36+T37+T38+T39+T40+T41</f>
        <v>0</v>
      </c>
      <c r="U42" s="17">
        <f t="shared" si="47"/>
        <v>0</v>
      </c>
    </row>
    <row r="43" spans="1:2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3">
      <c r="A44" s="16" t="s">
        <v>32</v>
      </c>
      <c r="B44" s="17"/>
      <c r="C44" s="17">
        <f t="shared" ref="C44:U44" si="54">C26-C32-C42</f>
        <v>0</v>
      </c>
      <c r="D44" s="17">
        <f t="shared" si="54"/>
        <v>0</v>
      </c>
      <c r="E44" s="17">
        <f t="shared" si="54"/>
        <v>0</v>
      </c>
      <c r="F44" s="17">
        <f t="shared" si="54"/>
        <v>0</v>
      </c>
      <c r="G44" s="17">
        <f t="shared" si="54"/>
        <v>0</v>
      </c>
      <c r="H44" s="17">
        <f t="shared" si="54"/>
        <v>0</v>
      </c>
      <c r="I44" s="17">
        <f t="shared" si="54"/>
        <v>0</v>
      </c>
      <c r="J44" s="17">
        <f t="shared" si="54"/>
        <v>0</v>
      </c>
      <c r="K44" s="17">
        <f t="shared" si="54"/>
        <v>0</v>
      </c>
      <c r="L44" s="17">
        <f t="shared" si="54"/>
        <v>0</v>
      </c>
      <c r="M44" s="17">
        <f t="shared" si="54"/>
        <v>0</v>
      </c>
      <c r="N44" s="17">
        <f t="shared" si="54"/>
        <v>0</v>
      </c>
      <c r="O44" s="17">
        <f t="shared" ref="O44:T44" si="55">O26-O32-O42</f>
        <v>0</v>
      </c>
      <c r="P44" s="17">
        <f t="shared" si="55"/>
        <v>0</v>
      </c>
      <c r="Q44" s="17">
        <f t="shared" si="55"/>
        <v>0</v>
      </c>
      <c r="R44" s="17">
        <f t="shared" si="55"/>
        <v>0</v>
      </c>
      <c r="S44" s="17">
        <f t="shared" si="55"/>
        <v>0</v>
      </c>
      <c r="T44" s="17">
        <f t="shared" si="55"/>
        <v>0</v>
      </c>
      <c r="U44" s="17">
        <f t="shared" si="54"/>
        <v>0</v>
      </c>
    </row>
    <row r="45" spans="1:21" x14ac:dyDescent="0.3">
      <c r="A45" s="19" t="s">
        <v>33</v>
      </c>
      <c r="B45" s="19"/>
      <c r="C45" s="20" t="str">
        <f t="shared" ref="C45:U45" si="56">IF(C11=0,"-",C44/C11)</f>
        <v>-</v>
      </c>
      <c r="D45" s="20" t="str">
        <f t="shared" si="56"/>
        <v>-</v>
      </c>
      <c r="E45" s="20" t="str">
        <f t="shared" si="56"/>
        <v>-</v>
      </c>
      <c r="F45" s="20" t="str">
        <f t="shared" si="56"/>
        <v>-</v>
      </c>
      <c r="G45" s="20" t="str">
        <f t="shared" si="56"/>
        <v>-</v>
      </c>
      <c r="H45" s="20" t="str">
        <f t="shared" si="56"/>
        <v>-</v>
      </c>
      <c r="I45" s="20" t="str">
        <f t="shared" si="56"/>
        <v>-</v>
      </c>
      <c r="J45" s="20" t="str">
        <f t="shared" si="56"/>
        <v>-</v>
      </c>
      <c r="K45" s="20" t="str">
        <f t="shared" si="56"/>
        <v>-</v>
      </c>
      <c r="L45" s="20" t="str">
        <f t="shared" si="56"/>
        <v>-</v>
      </c>
      <c r="M45" s="20" t="str">
        <f t="shared" si="56"/>
        <v>-</v>
      </c>
      <c r="N45" s="20" t="str">
        <f t="shared" si="56"/>
        <v>-</v>
      </c>
      <c r="O45" s="20" t="str">
        <f t="shared" ref="O45" si="57">IF(O11=0,"-",O44/O11)</f>
        <v>-</v>
      </c>
      <c r="P45" s="20" t="str">
        <f t="shared" ref="P45" si="58">IF(P11=0,"-",P44/P11)</f>
        <v>-</v>
      </c>
      <c r="Q45" s="20" t="str">
        <f t="shared" ref="Q45" si="59">IF(Q11=0,"-",Q44/Q11)</f>
        <v>-</v>
      </c>
      <c r="R45" s="20" t="str">
        <f t="shared" ref="R45" si="60">IF(R11=0,"-",R44/R11)</f>
        <v>-</v>
      </c>
      <c r="S45" s="20" t="str">
        <f t="shared" ref="S45" si="61">IF(S11=0,"-",S44/S11)</f>
        <v>-</v>
      </c>
      <c r="T45" s="20" t="str">
        <f t="shared" ref="T45" si="62">IF(T11=0,"-",T44/T11)</f>
        <v>-</v>
      </c>
      <c r="U45" s="20" t="str">
        <f t="shared" si="56"/>
        <v>-</v>
      </c>
    </row>
    <row r="46" spans="1:2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3">
      <c r="A47" s="12" t="s">
        <v>34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</row>
    <row r="48" spans="1:21" x14ac:dyDescent="0.3">
      <c r="A48" s="2" t="s">
        <v>35</v>
      </c>
      <c r="B48" s="3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15">
        <f>SUM(C48:T48)</f>
        <v>0</v>
      </c>
    </row>
    <row r="49" spans="1:21" x14ac:dyDescent="0.3">
      <c r="A49" s="2" t="s">
        <v>36</v>
      </c>
      <c r="B49" s="3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15">
        <f>SUM(C49:T49)</f>
        <v>0</v>
      </c>
    </row>
    <row r="50" spans="1:21" x14ac:dyDescent="0.3">
      <c r="A50" s="16" t="s">
        <v>37</v>
      </c>
      <c r="B50" s="17"/>
      <c r="C50" s="17">
        <f t="shared" ref="C50:U50" si="63">C48-C49</f>
        <v>0</v>
      </c>
      <c r="D50" s="17">
        <f t="shared" si="63"/>
        <v>0</v>
      </c>
      <c r="E50" s="17">
        <f t="shared" si="63"/>
        <v>0</v>
      </c>
      <c r="F50" s="17">
        <f t="shared" si="63"/>
        <v>0</v>
      </c>
      <c r="G50" s="17">
        <f t="shared" si="63"/>
        <v>0</v>
      </c>
      <c r="H50" s="17">
        <f t="shared" si="63"/>
        <v>0</v>
      </c>
      <c r="I50" s="17">
        <f t="shared" si="63"/>
        <v>0</v>
      </c>
      <c r="J50" s="17">
        <f t="shared" si="63"/>
        <v>0</v>
      </c>
      <c r="K50" s="17">
        <f t="shared" si="63"/>
        <v>0</v>
      </c>
      <c r="L50" s="17">
        <f t="shared" si="63"/>
        <v>0</v>
      </c>
      <c r="M50" s="17">
        <f t="shared" si="63"/>
        <v>0</v>
      </c>
      <c r="N50" s="17">
        <f t="shared" si="63"/>
        <v>0</v>
      </c>
      <c r="O50" s="17">
        <f t="shared" ref="O50" si="64">O48-O49</f>
        <v>0</v>
      </c>
      <c r="P50" s="17">
        <f t="shared" ref="P50" si="65">P48-P49</f>
        <v>0</v>
      </c>
      <c r="Q50" s="17">
        <f t="shared" ref="Q50" si="66">Q48-Q49</f>
        <v>0</v>
      </c>
      <c r="R50" s="17">
        <f t="shared" ref="R50" si="67">R48-R49</f>
        <v>0</v>
      </c>
      <c r="S50" s="17">
        <f t="shared" ref="S50" si="68">S48-S49</f>
        <v>0</v>
      </c>
      <c r="T50" s="17">
        <f t="shared" ref="T50" si="69">T48-T49</f>
        <v>0</v>
      </c>
      <c r="U50" s="17">
        <f t="shared" si="63"/>
        <v>0</v>
      </c>
    </row>
    <row r="51" spans="1:2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3">
      <c r="A52" s="16" t="s">
        <v>38</v>
      </c>
      <c r="B52" s="17"/>
      <c r="C52" s="17">
        <f t="shared" ref="C52:U52" si="70">C44+C50</f>
        <v>0</v>
      </c>
      <c r="D52" s="17">
        <f t="shared" si="70"/>
        <v>0</v>
      </c>
      <c r="E52" s="17">
        <f t="shared" si="70"/>
        <v>0</v>
      </c>
      <c r="F52" s="17">
        <f t="shared" si="70"/>
        <v>0</v>
      </c>
      <c r="G52" s="17">
        <f t="shared" si="70"/>
        <v>0</v>
      </c>
      <c r="H52" s="17">
        <f t="shared" si="70"/>
        <v>0</v>
      </c>
      <c r="I52" s="17">
        <f t="shared" si="70"/>
        <v>0</v>
      </c>
      <c r="J52" s="17">
        <f t="shared" si="70"/>
        <v>0</v>
      </c>
      <c r="K52" s="17">
        <f t="shared" si="70"/>
        <v>0</v>
      </c>
      <c r="L52" s="17">
        <f t="shared" si="70"/>
        <v>0</v>
      </c>
      <c r="M52" s="17">
        <f t="shared" si="70"/>
        <v>0</v>
      </c>
      <c r="N52" s="17">
        <f t="shared" si="70"/>
        <v>0</v>
      </c>
      <c r="O52" s="17">
        <f t="shared" ref="O52:T52" si="71">O44+O50</f>
        <v>0</v>
      </c>
      <c r="P52" s="17">
        <f t="shared" si="71"/>
        <v>0</v>
      </c>
      <c r="Q52" s="17">
        <f t="shared" si="71"/>
        <v>0</v>
      </c>
      <c r="R52" s="17">
        <f t="shared" si="71"/>
        <v>0</v>
      </c>
      <c r="S52" s="17">
        <f t="shared" si="71"/>
        <v>0</v>
      </c>
      <c r="T52" s="17">
        <f t="shared" si="71"/>
        <v>0</v>
      </c>
      <c r="U52" s="17">
        <f t="shared" si="70"/>
        <v>0</v>
      </c>
    </row>
    <row r="53" spans="1:2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3">
      <c r="A54" s="2" t="s">
        <v>39</v>
      </c>
      <c r="B54" s="32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15">
        <f>SUM(C54:T54)</f>
        <v>0</v>
      </c>
    </row>
    <row r="55" spans="1:2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5" thickBot="1" x14ac:dyDescent="0.35">
      <c r="A56" s="21" t="s">
        <v>40</v>
      </c>
      <c r="B56" s="22"/>
      <c r="C56" s="22">
        <f t="shared" ref="C56:U56" si="72">C52-C54</f>
        <v>0</v>
      </c>
      <c r="D56" s="22">
        <f t="shared" si="72"/>
        <v>0</v>
      </c>
      <c r="E56" s="22">
        <f t="shared" si="72"/>
        <v>0</v>
      </c>
      <c r="F56" s="22">
        <f t="shared" si="72"/>
        <v>0</v>
      </c>
      <c r="G56" s="22">
        <f t="shared" si="72"/>
        <v>0</v>
      </c>
      <c r="H56" s="22">
        <f t="shared" si="72"/>
        <v>0</v>
      </c>
      <c r="I56" s="22">
        <f t="shared" si="72"/>
        <v>0</v>
      </c>
      <c r="J56" s="22">
        <f t="shared" si="72"/>
        <v>0</v>
      </c>
      <c r="K56" s="22">
        <f t="shared" si="72"/>
        <v>0</v>
      </c>
      <c r="L56" s="22">
        <f t="shared" si="72"/>
        <v>0</v>
      </c>
      <c r="M56" s="22">
        <f t="shared" si="72"/>
        <v>0</v>
      </c>
      <c r="N56" s="22">
        <f t="shared" si="72"/>
        <v>0</v>
      </c>
      <c r="O56" s="22">
        <f t="shared" ref="O56:T56" si="73">O52-O54</f>
        <v>0</v>
      </c>
      <c r="P56" s="22">
        <f t="shared" si="73"/>
        <v>0</v>
      </c>
      <c r="Q56" s="22">
        <f t="shared" si="73"/>
        <v>0</v>
      </c>
      <c r="R56" s="22">
        <f t="shared" si="73"/>
        <v>0</v>
      </c>
      <c r="S56" s="22">
        <f t="shared" si="73"/>
        <v>0</v>
      </c>
      <c r="T56" s="22">
        <f t="shared" si="73"/>
        <v>0</v>
      </c>
      <c r="U56" s="22">
        <f t="shared" si="72"/>
        <v>0</v>
      </c>
    </row>
    <row r="57" spans="1:21" ht="15" thickTop="1" x14ac:dyDescent="0.3">
      <c r="A57" s="19" t="s">
        <v>41</v>
      </c>
      <c r="B57" s="19"/>
      <c r="C57" s="20" t="str">
        <f t="shared" ref="C57:U57" si="74">IF(C11=0,"-",C56/C11)</f>
        <v>-</v>
      </c>
      <c r="D57" s="20" t="str">
        <f t="shared" si="74"/>
        <v>-</v>
      </c>
      <c r="E57" s="20" t="str">
        <f t="shared" si="74"/>
        <v>-</v>
      </c>
      <c r="F57" s="20" t="str">
        <f t="shared" si="74"/>
        <v>-</v>
      </c>
      <c r="G57" s="20" t="str">
        <f t="shared" si="74"/>
        <v>-</v>
      </c>
      <c r="H57" s="20" t="str">
        <f t="shared" si="74"/>
        <v>-</v>
      </c>
      <c r="I57" s="20" t="str">
        <f t="shared" si="74"/>
        <v>-</v>
      </c>
      <c r="J57" s="20" t="str">
        <f t="shared" si="74"/>
        <v>-</v>
      </c>
      <c r="K57" s="20" t="str">
        <f t="shared" si="74"/>
        <v>-</v>
      </c>
      <c r="L57" s="20" t="str">
        <f t="shared" si="74"/>
        <v>-</v>
      </c>
      <c r="M57" s="20" t="str">
        <f t="shared" si="74"/>
        <v>-</v>
      </c>
      <c r="N57" s="20" t="str">
        <f t="shared" si="74"/>
        <v>-</v>
      </c>
      <c r="O57" s="20" t="str">
        <f t="shared" ref="O57" si="75">IF(O11=0,"-",O56/O11)</f>
        <v>-</v>
      </c>
      <c r="P57" s="20" t="str">
        <f t="shared" ref="P57" si="76">IF(P11=0,"-",P56/P11)</f>
        <v>-</v>
      </c>
      <c r="Q57" s="20" t="str">
        <f t="shared" ref="Q57" si="77">IF(Q11=0,"-",Q56/Q11)</f>
        <v>-</v>
      </c>
      <c r="R57" s="20" t="str">
        <f t="shared" ref="R57" si="78">IF(R11=0,"-",R56/R11)</f>
        <v>-</v>
      </c>
      <c r="S57" s="20" t="str">
        <f t="shared" ref="S57" si="79">IF(S11=0,"-",S56/S11)</f>
        <v>-</v>
      </c>
      <c r="T57" s="20" t="str">
        <f t="shared" ref="T57" si="80">IF(T11=0,"-",T56/T11)</f>
        <v>-</v>
      </c>
      <c r="U57" s="20" t="str">
        <f t="shared" si="74"/>
        <v>-</v>
      </c>
    </row>
    <row r="58" spans="1:2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3">
      <c r="A59" s="12" t="s">
        <v>42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</row>
    <row r="60" spans="1:21" x14ac:dyDescent="0.3">
      <c r="A60" s="2" t="s">
        <v>43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15"/>
    </row>
    <row r="61" spans="1:21" x14ac:dyDescent="0.3">
      <c r="A61" s="2" t="s">
        <v>44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15"/>
    </row>
    <row r="62" spans="1:21" x14ac:dyDescent="0.3">
      <c r="A62" s="2" t="s">
        <v>45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15"/>
    </row>
    <row r="63" spans="1:21" x14ac:dyDescent="0.3">
      <c r="A63" s="16" t="s">
        <v>46</v>
      </c>
      <c r="B63" s="17">
        <f t="shared" ref="B63:U63" si="81">B60+B61+B62</f>
        <v>0</v>
      </c>
      <c r="C63" s="17">
        <f t="shared" si="81"/>
        <v>0</v>
      </c>
      <c r="D63" s="17">
        <f t="shared" si="81"/>
        <v>0</v>
      </c>
      <c r="E63" s="17">
        <f t="shared" si="81"/>
        <v>0</v>
      </c>
      <c r="F63" s="17">
        <f t="shared" si="81"/>
        <v>0</v>
      </c>
      <c r="G63" s="17">
        <f t="shared" si="81"/>
        <v>0</v>
      </c>
      <c r="H63" s="17">
        <f t="shared" si="81"/>
        <v>0</v>
      </c>
      <c r="I63" s="17">
        <f t="shared" si="81"/>
        <v>0</v>
      </c>
      <c r="J63" s="17">
        <f t="shared" si="81"/>
        <v>0</v>
      </c>
      <c r="K63" s="17">
        <f t="shared" si="81"/>
        <v>0</v>
      </c>
      <c r="L63" s="17">
        <f t="shared" si="81"/>
        <v>0</v>
      </c>
      <c r="M63" s="17">
        <f t="shared" si="81"/>
        <v>0</v>
      </c>
      <c r="N63" s="17">
        <f t="shared" si="81"/>
        <v>0</v>
      </c>
      <c r="O63" s="17">
        <f t="shared" ref="O63" si="82">O60+O61+O62</f>
        <v>0</v>
      </c>
      <c r="P63" s="17">
        <f t="shared" ref="P63" si="83">P60+P61+P62</f>
        <v>0</v>
      </c>
      <c r="Q63" s="17">
        <f t="shared" ref="Q63" si="84">Q60+Q61+Q62</f>
        <v>0</v>
      </c>
      <c r="R63" s="17">
        <f t="shared" ref="R63" si="85">R60+R61+R62</f>
        <v>0</v>
      </c>
      <c r="S63" s="17">
        <f t="shared" ref="S63" si="86">S60+S61+S62</f>
        <v>0</v>
      </c>
      <c r="T63" s="17">
        <f t="shared" ref="T63" si="87">T60+T61+T62</f>
        <v>0</v>
      </c>
      <c r="U63" s="17">
        <f t="shared" si="81"/>
        <v>0</v>
      </c>
    </row>
    <row r="64" spans="1:2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3">
      <c r="A65" s="2" t="s">
        <v>47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15"/>
    </row>
    <row r="66" spans="1:21" x14ac:dyDescent="0.3">
      <c r="A66" s="2" t="s">
        <v>48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15"/>
    </row>
    <row r="67" spans="1:21" x14ac:dyDescent="0.3">
      <c r="A67" s="2" t="s">
        <v>49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15"/>
    </row>
    <row r="68" spans="1:21" x14ac:dyDescent="0.3">
      <c r="A68" s="2" t="s">
        <v>50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15"/>
    </row>
    <row r="69" spans="1:21" x14ac:dyDescent="0.3">
      <c r="A69" s="2" t="s">
        <v>51</v>
      </c>
      <c r="B69" s="14">
        <f t="shared" ref="B69:U69" si="88">B119</f>
        <v>0</v>
      </c>
      <c r="C69" s="23">
        <f t="shared" si="88"/>
        <v>0</v>
      </c>
      <c r="D69" s="23">
        <f t="shared" si="88"/>
        <v>0</v>
      </c>
      <c r="E69" s="23">
        <f t="shared" si="88"/>
        <v>0</v>
      </c>
      <c r="F69" s="23">
        <f t="shared" si="88"/>
        <v>0</v>
      </c>
      <c r="G69" s="23">
        <f t="shared" si="88"/>
        <v>0</v>
      </c>
      <c r="H69" s="23">
        <f t="shared" si="88"/>
        <v>0</v>
      </c>
      <c r="I69" s="23">
        <f t="shared" si="88"/>
        <v>0</v>
      </c>
      <c r="J69" s="23">
        <f t="shared" si="88"/>
        <v>0</v>
      </c>
      <c r="K69" s="23">
        <f t="shared" si="88"/>
        <v>0</v>
      </c>
      <c r="L69" s="23">
        <f t="shared" si="88"/>
        <v>0</v>
      </c>
      <c r="M69" s="23">
        <f t="shared" si="88"/>
        <v>0</v>
      </c>
      <c r="N69" s="23">
        <f t="shared" si="88"/>
        <v>0</v>
      </c>
      <c r="O69" s="23">
        <f t="shared" ref="O69:T69" si="89">O119</f>
        <v>0</v>
      </c>
      <c r="P69" s="23">
        <f t="shared" si="89"/>
        <v>0</v>
      </c>
      <c r="Q69" s="23">
        <f t="shared" si="89"/>
        <v>0</v>
      </c>
      <c r="R69" s="23">
        <f t="shared" si="89"/>
        <v>0</v>
      </c>
      <c r="S69" s="23">
        <f t="shared" si="89"/>
        <v>0</v>
      </c>
      <c r="T69" s="23">
        <f t="shared" si="89"/>
        <v>0</v>
      </c>
      <c r="U69" s="15">
        <f t="shared" si="88"/>
        <v>0</v>
      </c>
    </row>
    <row r="70" spans="1:21" x14ac:dyDescent="0.3">
      <c r="A70" s="16" t="s">
        <v>52</v>
      </c>
      <c r="B70" s="17">
        <f t="shared" ref="B70:U70" si="90">B65+B66+B67+B68+B69</f>
        <v>0</v>
      </c>
      <c r="C70" s="17">
        <f t="shared" si="90"/>
        <v>0</v>
      </c>
      <c r="D70" s="17">
        <f t="shared" si="90"/>
        <v>0</v>
      </c>
      <c r="E70" s="17">
        <f t="shared" si="90"/>
        <v>0</v>
      </c>
      <c r="F70" s="17">
        <f t="shared" si="90"/>
        <v>0</v>
      </c>
      <c r="G70" s="17">
        <f t="shared" si="90"/>
        <v>0</v>
      </c>
      <c r="H70" s="17">
        <f t="shared" si="90"/>
        <v>0</v>
      </c>
      <c r="I70" s="17">
        <f t="shared" si="90"/>
        <v>0</v>
      </c>
      <c r="J70" s="17">
        <f t="shared" si="90"/>
        <v>0</v>
      </c>
      <c r="K70" s="17">
        <f t="shared" si="90"/>
        <v>0</v>
      </c>
      <c r="L70" s="17">
        <f t="shared" si="90"/>
        <v>0</v>
      </c>
      <c r="M70" s="17">
        <f t="shared" si="90"/>
        <v>0</v>
      </c>
      <c r="N70" s="17">
        <f t="shared" si="90"/>
        <v>0</v>
      </c>
      <c r="O70" s="17">
        <f t="shared" ref="O70" si="91">O65+O66+O67+O68+O69</f>
        <v>0</v>
      </c>
      <c r="P70" s="17">
        <f t="shared" ref="P70" si="92">P65+P66+P67+P68+P69</f>
        <v>0</v>
      </c>
      <c r="Q70" s="17">
        <f t="shared" ref="Q70" si="93">Q65+Q66+Q67+Q68+Q69</f>
        <v>0</v>
      </c>
      <c r="R70" s="17">
        <f t="shared" ref="R70" si="94">R65+R66+R67+R68+R69</f>
        <v>0</v>
      </c>
      <c r="S70" s="17">
        <f t="shared" ref="S70" si="95">S65+S66+S67+S68+S69</f>
        <v>0</v>
      </c>
      <c r="T70" s="17">
        <f t="shared" ref="T70" si="96">T65+T66+T67+T68+T69</f>
        <v>0</v>
      </c>
      <c r="U70" s="17">
        <f t="shared" si="90"/>
        <v>0</v>
      </c>
    </row>
    <row r="71" spans="1:2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5" thickBot="1" x14ac:dyDescent="0.35">
      <c r="A72" s="21" t="s">
        <v>53</v>
      </c>
      <c r="B72" s="22">
        <f t="shared" ref="B72:U72" si="97">B63+B70</f>
        <v>0</v>
      </c>
      <c r="C72" s="22">
        <f t="shared" si="97"/>
        <v>0</v>
      </c>
      <c r="D72" s="22">
        <f t="shared" si="97"/>
        <v>0</v>
      </c>
      <c r="E72" s="22">
        <f t="shared" si="97"/>
        <v>0</v>
      </c>
      <c r="F72" s="22">
        <f t="shared" si="97"/>
        <v>0</v>
      </c>
      <c r="G72" s="22">
        <f t="shared" si="97"/>
        <v>0</v>
      </c>
      <c r="H72" s="22">
        <f t="shared" si="97"/>
        <v>0</v>
      </c>
      <c r="I72" s="22">
        <f t="shared" si="97"/>
        <v>0</v>
      </c>
      <c r="J72" s="22">
        <f t="shared" si="97"/>
        <v>0</v>
      </c>
      <c r="K72" s="22">
        <f t="shared" si="97"/>
        <v>0</v>
      </c>
      <c r="L72" s="22">
        <f t="shared" si="97"/>
        <v>0</v>
      </c>
      <c r="M72" s="22">
        <f t="shared" si="97"/>
        <v>0</v>
      </c>
      <c r="N72" s="22">
        <f t="shared" si="97"/>
        <v>0</v>
      </c>
      <c r="O72" s="22">
        <f t="shared" ref="O72:T72" si="98">O63+O70</f>
        <v>0</v>
      </c>
      <c r="P72" s="22">
        <f t="shared" si="98"/>
        <v>0</v>
      </c>
      <c r="Q72" s="22">
        <f t="shared" si="98"/>
        <v>0</v>
      </c>
      <c r="R72" s="22">
        <f t="shared" si="98"/>
        <v>0</v>
      </c>
      <c r="S72" s="22">
        <f t="shared" si="98"/>
        <v>0</v>
      </c>
      <c r="T72" s="22">
        <f t="shared" si="98"/>
        <v>0</v>
      </c>
      <c r="U72" s="22">
        <f t="shared" si="97"/>
        <v>0</v>
      </c>
    </row>
    <row r="73" spans="1:21" ht="15" thickTop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3">
      <c r="A74" s="12" t="s">
        <v>54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</row>
    <row r="75" spans="1:21" x14ac:dyDescent="0.3">
      <c r="A75" s="2" t="s">
        <v>55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15"/>
    </row>
    <row r="76" spans="1:21" x14ac:dyDescent="0.3">
      <c r="A76" s="2" t="s">
        <v>56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15"/>
    </row>
    <row r="77" spans="1:21" x14ac:dyDescent="0.3">
      <c r="A77" s="2" t="s">
        <v>57</v>
      </c>
      <c r="B77" s="14">
        <f t="shared" ref="B77:U77" si="99">B56</f>
        <v>0</v>
      </c>
      <c r="C77" s="23">
        <f t="shared" si="99"/>
        <v>0</v>
      </c>
      <c r="D77" s="23">
        <f t="shared" si="99"/>
        <v>0</v>
      </c>
      <c r="E77" s="23">
        <f t="shared" si="99"/>
        <v>0</v>
      </c>
      <c r="F77" s="23">
        <f t="shared" si="99"/>
        <v>0</v>
      </c>
      <c r="G77" s="23">
        <f t="shared" si="99"/>
        <v>0</v>
      </c>
      <c r="H77" s="23">
        <f t="shared" si="99"/>
        <v>0</v>
      </c>
      <c r="I77" s="23">
        <f t="shared" si="99"/>
        <v>0</v>
      </c>
      <c r="J77" s="23">
        <f t="shared" si="99"/>
        <v>0</v>
      </c>
      <c r="K77" s="23">
        <f t="shared" si="99"/>
        <v>0</v>
      </c>
      <c r="L77" s="23">
        <f t="shared" si="99"/>
        <v>0</v>
      </c>
      <c r="M77" s="23">
        <f t="shared" si="99"/>
        <v>0</v>
      </c>
      <c r="N77" s="23">
        <f t="shared" si="99"/>
        <v>0</v>
      </c>
      <c r="O77" s="23">
        <f t="shared" ref="O77:T77" si="100">O56</f>
        <v>0</v>
      </c>
      <c r="P77" s="23">
        <f t="shared" si="100"/>
        <v>0</v>
      </c>
      <c r="Q77" s="23">
        <f t="shared" si="100"/>
        <v>0</v>
      </c>
      <c r="R77" s="23">
        <f t="shared" si="100"/>
        <v>0</v>
      </c>
      <c r="S77" s="23">
        <f t="shared" si="100"/>
        <v>0</v>
      </c>
      <c r="T77" s="23">
        <f t="shared" si="100"/>
        <v>0</v>
      </c>
      <c r="U77" s="15">
        <f t="shared" si="99"/>
        <v>0</v>
      </c>
    </row>
    <row r="78" spans="1:21" x14ac:dyDescent="0.3">
      <c r="A78" s="16" t="s">
        <v>58</v>
      </c>
      <c r="B78" s="17">
        <f t="shared" ref="B78:U78" si="101">B75+B76+B77</f>
        <v>0</v>
      </c>
      <c r="C78" s="17">
        <f t="shared" si="101"/>
        <v>0</v>
      </c>
      <c r="D78" s="17">
        <f t="shared" si="101"/>
        <v>0</v>
      </c>
      <c r="E78" s="17">
        <f t="shared" si="101"/>
        <v>0</v>
      </c>
      <c r="F78" s="17">
        <f t="shared" si="101"/>
        <v>0</v>
      </c>
      <c r="G78" s="17">
        <f t="shared" si="101"/>
        <v>0</v>
      </c>
      <c r="H78" s="17">
        <f t="shared" si="101"/>
        <v>0</v>
      </c>
      <c r="I78" s="17">
        <f t="shared" si="101"/>
        <v>0</v>
      </c>
      <c r="J78" s="17">
        <f t="shared" si="101"/>
        <v>0</v>
      </c>
      <c r="K78" s="17">
        <f t="shared" si="101"/>
        <v>0</v>
      </c>
      <c r="L78" s="17">
        <f t="shared" si="101"/>
        <v>0</v>
      </c>
      <c r="M78" s="17">
        <f t="shared" si="101"/>
        <v>0</v>
      </c>
      <c r="N78" s="17">
        <f t="shared" si="101"/>
        <v>0</v>
      </c>
      <c r="O78" s="17">
        <f t="shared" ref="O78" si="102">O75+O76+O77</f>
        <v>0</v>
      </c>
      <c r="P78" s="17">
        <f t="shared" ref="P78" si="103">P75+P76+P77</f>
        <v>0</v>
      </c>
      <c r="Q78" s="17">
        <f t="shared" ref="Q78" si="104">Q75+Q76+Q77</f>
        <v>0</v>
      </c>
      <c r="R78" s="17">
        <f t="shared" ref="R78" si="105">R75+R76+R77</f>
        <v>0</v>
      </c>
      <c r="S78" s="17">
        <f t="shared" ref="S78" si="106">S75+S76+S77</f>
        <v>0</v>
      </c>
      <c r="T78" s="17">
        <f t="shared" ref="T78" si="107">T75+T76+T77</f>
        <v>0</v>
      </c>
      <c r="U78" s="17">
        <f t="shared" si="101"/>
        <v>0</v>
      </c>
    </row>
    <row r="79" spans="1:2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3">
      <c r="A80" s="2" t="s">
        <v>59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15"/>
    </row>
    <row r="81" spans="1:21" x14ac:dyDescent="0.3">
      <c r="A81" s="2" t="s">
        <v>60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15"/>
    </row>
    <row r="82" spans="1:21" x14ac:dyDescent="0.3">
      <c r="A82" s="2" t="s">
        <v>61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15"/>
    </row>
    <row r="83" spans="1:21" x14ac:dyDescent="0.3">
      <c r="A83" s="2" t="s">
        <v>62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15"/>
    </row>
    <row r="84" spans="1:21" x14ac:dyDescent="0.3">
      <c r="A84" s="2" t="s">
        <v>63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15"/>
    </row>
    <row r="85" spans="1:21" x14ac:dyDescent="0.3">
      <c r="A85" s="16" t="s">
        <v>64</v>
      </c>
      <c r="B85" s="17">
        <f t="shared" ref="B85:U85" si="108">B80+B81+B82+B83+B84</f>
        <v>0</v>
      </c>
      <c r="C85" s="17">
        <f t="shared" si="108"/>
        <v>0</v>
      </c>
      <c r="D85" s="17">
        <f t="shared" si="108"/>
        <v>0</v>
      </c>
      <c r="E85" s="17">
        <f t="shared" si="108"/>
        <v>0</v>
      </c>
      <c r="F85" s="17">
        <f t="shared" si="108"/>
        <v>0</v>
      </c>
      <c r="G85" s="17">
        <f t="shared" si="108"/>
        <v>0</v>
      </c>
      <c r="H85" s="17">
        <f t="shared" si="108"/>
        <v>0</v>
      </c>
      <c r="I85" s="17">
        <f t="shared" si="108"/>
        <v>0</v>
      </c>
      <c r="J85" s="17">
        <f t="shared" si="108"/>
        <v>0</v>
      </c>
      <c r="K85" s="17">
        <f t="shared" si="108"/>
        <v>0</v>
      </c>
      <c r="L85" s="17">
        <f t="shared" si="108"/>
        <v>0</v>
      </c>
      <c r="M85" s="17">
        <f t="shared" si="108"/>
        <v>0</v>
      </c>
      <c r="N85" s="17">
        <f t="shared" si="108"/>
        <v>0</v>
      </c>
      <c r="O85" s="17">
        <f t="shared" ref="O85" si="109">O80+O81+O82+O83+O84</f>
        <v>0</v>
      </c>
      <c r="P85" s="17">
        <f t="shared" ref="P85" si="110">P80+P81+P82+P83+P84</f>
        <v>0</v>
      </c>
      <c r="Q85" s="17">
        <f t="shared" ref="Q85" si="111">Q80+Q81+Q82+Q83+Q84</f>
        <v>0</v>
      </c>
      <c r="R85" s="17">
        <f t="shared" ref="R85" si="112">R80+R81+R82+R83+R84</f>
        <v>0</v>
      </c>
      <c r="S85" s="17">
        <f t="shared" ref="S85" si="113">S80+S81+S82+S83+S84</f>
        <v>0</v>
      </c>
      <c r="T85" s="17">
        <f t="shared" ref="T85" si="114">T80+T81+T82+T83+T84</f>
        <v>0</v>
      </c>
      <c r="U85" s="17">
        <f t="shared" si="108"/>
        <v>0</v>
      </c>
    </row>
    <row r="86" spans="1:2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5" thickBot="1" x14ac:dyDescent="0.35">
      <c r="A87" s="21" t="s">
        <v>65</v>
      </c>
      <c r="B87" s="22">
        <f t="shared" ref="B87:U87" si="115">B78+B85</f>
        <v>0</v>
      </c>
      <c r="C87" s="22">
        <f t="shared" si="115"/>
        <v>0</v>
      </c>
      <c r="D87" s="22">
        <f t="shared" si="115"/>
        <v>0</v>
      </c>
      <c r="E87" s="22">
        <f t="shared" si="115"/>
        <v>0</v>
      </c>
      <c r="F87" s="22">
        <f t="shared" si="115"/>
        <v>0</v>
      </c>
      <c r="G87" s="22">
        <f t="shared" si="115"/>
        <v>0</v>
      </c>
      <c r="H87" s="22">
        <f t="shared" si="115"/>
        <v>0</v>
      </c>
      <c r="I87" s="22">
        <f t="shared" si="115"/>
        <v>0</v>
      </c>
      <c r="J87" s="22">
        <f t="shared" si="115"/>
        <v>0</v>
      </c>
      <c r="K87" s="22">
        <f t="shared" si="115"/>
        <v>0</v>
      </c>
      <c r="L87" s="22">
        <f t="shared" si="115"/>
        <v>0</v>
      </c>
      <c r="M87" s="22">
        <f t="shared" si="115"/>
        <v>0</v>
      </c>
      <c r="N87" s="22">
        <f t="shared" si="115"/>
        <v>0</v>
      </c>
      <c r="O87" s="22">
        <f t="shared" ref="O87:T87" si="116">O78+O85</f>
        <v>0</v>
      </c>
      <c r="P87" s="22">
        <f t="shared" si="116"/>
        <v>0</v>
      </c>
      <c r="Q87" s="22">
        <f t="shared" si="116"/>
        <v>0</v>
      </c>
      <c r="R87" s="22">
        <f t="shared" si="116"/>
        <v>0</v>
      </c>
      <c r="S87" s="22">
        <f t="shared" si="116"/>
        <v>0</v>
      </c>
      <c r="T87" s="22">
        <f t="shared" si="116"/>
        <v>0</v>
      </c>
      <c r="U87" s="22">
        <f t="shared" si="115"/>
        <v>0</v>
      </c>
    </row>
    <row r="88" spans="1:21" ht="15" thickTop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x14ac:dyDescent="0.3">
      <c r="A89" s="24" t="s">
        <v>66</v>
      </c>
      <c r="B89" s="25">
        <f t="shared" ref="B89:U89" si="117">B72-B87</f>
        <v>0</v>
      </c>
      <c r="C89" s="25">
        <f t="shared" si="117"/>
        <v>0</v>
      </c>
      <c r="D89" s="25">
        <f t="shared" si="117"/>
        <v>0</v>
      </c>
      <c r="E89" s="25">
        <f t="shared" si="117"/>
        <v>0</v>
      </c>
      <c r="F89" s="25">
        <f t="shared" si="117"/>
        <v>0</v>
      </c>
      <c r="G89" s="25">
        <f t="shared" si="117"/>
        <v>0</v>
      </c>
      <c r="H89" s="25">
        <f t="shared" si="117"/>
        <v>0</v>
      </c>
      <c r="I89" s="25">
        <f t="shared" si="117"/>
        <v>0</v>
      </c>
      <c r="J89" s="25">
        <f t="shared" si="117"/>
        <v>0</v>
      </c>
      <c r="K89" s="25">
        <f t="shared" si="117"/>
        <v>0</v>
      </c>
      <c r="L89" s="25">
        <f t="shared" si="117"/>
        <v>0</v>
      </c>
      <c r="M89" s="25">
        <f t="shared" si="117"/>
        <v>0</v>
      </c>
      <c r="N89" s="25">
        <f t="shared" si="117"/>
        <v>0</v>
      </c>
      <c r="O89" s="25">
        <f t="shared" ref="O89:T89" si="118">O72-O87</f>
        <v>0</v>
      </c>
      <c r="P89" s="25">
        <f t="shared" si="118"/>
        <v>0</v>
      </c>
      <c r="Q89" s="25">
        <f t="shared" si="118"/>
        <v>0</v>
      </c>
      <c r="R89" s="25">
        <f t="shared" si="118"/>
        <v>0</v>
      </c>
      <c r="S89" s="25">
        <f t="shared" si="118"/>
        <v>0</v>
      </c>
      <c r="T89" s="25">
        <f t="shared" si="118"/>
        <v>0</v>
      </c>
      <c r="U89" s="25">
        <f t="shared" si="117"/>
        <v>0</v>
      </c>
    </row>
    <row r="90" spans="1:2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x14ac:dyDescent="0.3">
      <c r="A91" s="12" t="s">
        <v>67</v>
      </c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</row>
    <row r="92" spans="1:21" x14ac:dyDescent="0.3">
      <c r="A92" s="12" t="s">
        <v>68</v>
      </c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</row>
    <row r="93" spans="1:21" x14ac:dyDescent="0.3">
      <c r="A93" s="2" t="s">
        <v>57</v>
      </c>
      <c r="B93" s="15"/>
      <c r="C93" s="23">
        <f t="shared" ref="C93:U93" si="119">C56</f>
        <v>0</v>
      </c>
      <c r="D93" s="23">
        <f t="shared" si="119"/>
        <v>0</v>
      </c>
      <c r="E93" s="23">
        <f t="shared" si="119"/>
        <v>0</v>
      </c>
      <c r="F93" s="23">
        <f t="shared" si="119"/>
        <v>0</v>
      </c>
      <c r="G93" s="23">
        <f t="shared" si="119"/>
        <v>0</v>
      </c>
      <c r="H93" s="23">
        <f t="shared" si="119"/>
        <v>0</v>
      </c>
      <c r="I93" s="23">
        <f t="shared" si="119"/>
        <v>0</v>
      </c>
      <c r="J93" s="23">
        <f t="shared" si="119"/>
        <v>0</v>
      </c>
      <c r="K93" s="23">
        <f t="shared" si="119"/>
        <v>0</v>
      </c>
      <c r="L93" s="23">
        <f t="shared" si="119"/>
        <v>0</v>
      </c>
      <c r="M93" s="23">
        <f t="shared" si="119"/>
        <v>0</v>
      </c>
      <c r="N93" s="23">
        <f t="shared" si="119"/>
        <v>0</v>
      </c>
      <c r="O93" s="23">
        <f t="shared" ref="O93:T93" si="120">O56</f>
        <v>0</v>
      </c>
      <c r="P93" s="23">
        <f t="shared" si="120"/>
        <v>0</v>
      </c>
      <c r="Q93" s="23">
        <f t="shared" si="120"/>
        <v>0</v>
      </c>
      <c r="R93" s="23">
        <f t="shared" si="120"/>
        <v>0</v>
      </c>
      <c r="S93" s="23">
        <f t="shared" si="120"/>
        <v>0</v>
      </c>
      <c r="T93" s="23">
        <f t="shared" si="120"/>
        <v>0</v>
      </c>
      <c r="U93" s="15">
        <f t="shared" si="119"/>
        <v>0</v>
      </c>
    </row>
    <row r="94" spans="1:21" x14ac:dyDescent="0.3">
      <c r="A94" s="2" t="s">
        <v>69</v>
      </c>
      <c r="B94" s="15"/>
      <c r="C94" s="23">
        <f t="shared" ref="C94:U94" si="121">C32</f>
        <v>0</v>
      </c>
      <c r="D94" s="23">
        <f t="shared" si="121"/>
        <v>0</v>
      </c>
      <c r="E94" s="23">
        <f t="shared" si="121"/>
        <v>0</v>
      </c>
      <c r="F94" s="23">
        <f t="shared" si="121"/>
        <v>0</v>
      </c>
      <c r="G94" s="23">
        <f t="shared" si="121"/>
        <v>0</v>
      </c>
      <c r="H94" s="23">
        <f t="shared" si="121"/>
        <v>0</v>
      </c>
      <c r="I94" s="23">
        <f t="shared" si="121"/>
        <v>0</v>
      </c>
      <c r="J94" s="23">
        <f t="shared" si="121"/>
        <v>0</v>
      </c>
      <c r="K94" s="23">
        <f t="shared" si="121"/>
        <v>0</v>
      </c>
      <c r="L94" s="23">
        <f t="shared" si="121"/>
        <v>0</v>
      </c>
      <c r="M94" s="23">
        <f t="shared" si="121"/>
        <v>0</v>
      </c>
      <c r="N94" s="23">
        <f t="shared" si="121"/>
        <v>0</v>
      </c>
      <c r="O94" s="23">
        <f t="shared" ref="O94:T94" si="122">O32</f>
        <v>0</v>
      </c>
      <c r="P94" s="23">
        <f t="shared" si="122"/>
        <v>0</v>
      </c>
      <c r="Q94" s="23">
        <f t="shared" si="122"/>
        <v>0</v>
      </c>
      <c r="R94" s="23">
        <f t="shared" si="122"/>
        <v>0</v>
      </c>
      <c r="S94" s="23">
        <f t="shared" si="122"/>
        <v>0</v>
      </c>
      <c r="T94" s="23">
        <f t="shared" si="122"/>
        <v>0</v>
      </c>
      <c r="U94" s="15">
        <f t="shared" si="121"/>
        <v>0</v>
      </c>
    </row>
    <row r="95" spans="1:21" x14ac:dyDescent="0.3">
      <c r="A95" s="12" t="s">
        <v>70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</row>
    <row r="96" spans="1:21" x14ac:dyDescent="0.3">
      <c r="A96" s="2" t="s">
        <v>71</v>
      </c>
      <c r="B96" s="15"/>
      <c r="C96" s="15">
        <f t="shared" ref="C96:N96" si="123">-(C65-B65)</f>
        <v>0</v>
      </c>
      <c r="D96" s="15">
        <f t="shared" si="123"/>
        <v>0</v>
      </c>
      <c r="E96" s="15">
        <f t="shared" si="123"/>
        <v>0</v>
      </c>
      <c r="F96" s="15">
        <f t="shared" si="123"/>
        <v>0</v>
      </c>
      <c r="G96" s="15">
        <f t="shared" si="123"/>
        <v>0</v>
      </c>
      <c r="H96" s="15">
        <f t="shared" si="123"/>
        <v>0</v>
      </c>
      <c r="I96" s="15">
        <f t="shared" si="123"/>
        <v>0</v>
      </c>
      <c r="J96" s="15">
        <f t="shared" si="123"/>
        <v>0</v>
      </c>
      <c r="K96" s="15">
        <f t="shared" si="123"/>
        <v>0</v>
      </c>
      <c r="L96" s="15">
        <f t="shared" si="123"/>
        <v>0</v>
      </c>
      <c r="M96" s="15">
        <f t="shared" si="123"/>
        <v>0</v>
      </c>
      <c r="N96" s="15">
        <f t="shared" si="123"/>
        <v>0</v>
      </c>
      <c r="O96" s="15">
        <f t="shared" ref="O96:T96" si="124">-(O65-N65)</f>
        <v>0</v>
      </c>
      <c r="P96" s="15">
        <f t="shared" si="124"/>
        <v>0</v>
      </c>
      <c r="Q96" s="15">
        <f t="shared" si="124"/>
        <v>0</v>
      </c>
      <c r="R96" s="15">
        <f t="shared" si="124"/>
        <v>0</v>
      </c>
      <c r="S96" s="15">
        <f t="shared" si="124"/>
        <v>0</v>
      </c>
      <c r="T96" s="15">
        <f t="shared" si="124"/>
        <v>0</v>
      </c>
      <c r="U96" s="15">
        <f t="shared" ref="U96:U102" si="125">SUM(C96:T96)</f>
        <v>0</v>
      </c>
    </row>
    <row r="97" spans="1:21" x14ac:dyDescent="0.3">
      <c r="A97" s="2" t="s">
        <v>72</v>
      </c>
      <c r="B97" s="15"/>
      <c r="C97" s="15">
        <f t="shared" ref="C97:N97" si="126">-(C66-B66)</f>
        <v>0</v>
      </c>
      <c r="D97" s="15">
        <f t="shared" si="126"/>
        <v>0</v>
      </c>
      <c r="E97" s="15">
        <f t="shared" si="126"/>
        <v>0</v>
      </c>
      <c r="F97" s="15">
        <f t="shared" si="126"/>
        <v>0</v>
      </c>
      <c r="G97" s="15">
        <f t="shared" si="126"/>
        <v>0</v>
      </c>
      <c r="H97" s="15">
        <f t="shared" si="126"/>
        <v>0</v>
      </c>
      <c r="I97" s="15">
        <f t="shared" si="126"/>
        <v>0</v>
      </c>
      <c r="J97" s="15">
        <f t="shared" si="126"/>
        <v>0</v>
      </c>
      <c r="K97" s="15">
        <f t="shared" si="126"/>
        <v>0</v>
      </c>
      <c r="L97" s="15">
        <f t="shared" si="126"/>
        <v>0</v>
      </c>
      <c r="M97" s="15">
        <f t="shared" si="126"/>
        <v>0</v>
      </c>
      <c r="N97" s="15">
        <f t="shared" si="126"/>
        <v>0</v>
      </c>
      <c r="O97" s="15">
        <f t="shared" ref="O97:T97" si="127">-(O66-N66)</f>
        <v>0</v>
      </c>
      <c r="P97" s="15">
        <f t="shared" si="127"/>
        <v>0</v>
      </c>
      <c r="Q97" s="15">
        <f t="shared" si="127"/>
        <v>0</v>
      </c>
      <c r="R97" s="15">
        <f t="shared" si="127"/>
        <v>0</v>
      </c>
      <c r="S97" s="15">
        <f t="shared" si="127"/>
        <v>0</v>
      </c>
      <c r="T97" s="15">
        <f t="shared" si="127"/>
        <v>0</v>
      </c>
      <c r="U97" s="15">
        <f t="shared" si="125"/>
        <v>0</v>
      </c>
    </row>
    <row r="98" spans="1:21" x14ac:dyDescent="0.3">
      <c r="A98" s="2" t="s">
        <v>73</v>
      </c>
      <c r="B98" s="15"/>
      <c r="C98" s="15">
        <f t="shared" ref="C98:N98" si="128">-(C67-B67)</f>
        <v>0</v>
      </c>
      <c r="D98" s="15">
        <f t="shared" si="128"/>
        <v>0</v>
      </c>
      <c r="E98" s="15">
        <f t="shared" si="128"/>
        <v>0</v>
      </c>
      <c r="F98" s="15">
        <f t="shared" si="128"/>
        <v>0</v>
      </c>
      <c r="G98" s="15">
        <f t="shared" si="128"/>
        <v>0</v>
      </c>
      <c r="H98" s="15">
        <f t="shared" si="128"/>
        <v>0</v>
      </c>
      <c r="I98" s="15">
        <f t="shared" si="128"/>
        <v>0</v>
      </c>
      <c r="J98" s="15">
        <f t="shared" si="128"/>
        <v>0</v>
      </c>
      <c r="K98" s="15">
        <f t="shared" si="128"/>
        <v>0</v>
      </c>
      <c r="L98" s="15">
        <f t="shared" si="128"/>
        <v>0</v>
      </c>
      <c r="M98" s="15">
        <f t="shared" si="128"/>
        <v>0</v>
      </c>
      <c r="N98" s="15">
        <f t="shared" si="128"/>
        <v>0</v>
      </c>
      <c r="O98" s="15">
        <f t="shared" ref="O98:T98" si="129">-(O67-N67)</f>
        <v>0</v>
      </c>
      <c r="P98" s="15">
        <f t="shared" si="129"/>
        <v>0</v>
      </c>
      <c r="Q98" s="15">
        <f t="shared" si="129"/>
        <v>0</v>
      </c>
      <c r="R98" s="15">
        <f t="shared" si="129"/>
        <v>0</v>
      </c>
      <c r="S98" s="15">
        <f t="shared" si="129"/>
        <v>0</v>
      </c>
      <c r="T98" s="15">
        <f t="shared" si="129"/>
        <v>0</v>
      </c>
      <c r="U98" s="15">
        <f t="shared" si="125"/>
        <v>0</v>
      </c>
    </row>
    <row r="99" spans="1:21" x14ac:dyDescent="0.3">
      <c r="A99" s="2" t="s">
        <v>74</v>
      </c>
      <c r="B99" s="15"/>
      <c r="C99" s="15">
        <f t="shared" ref="C99:N99" si="130">-(C68-B68)</f>
        <v>0</v>
      </c>
      <c r="D99" s="15">
        <f t="shared" si="130"/>
        <v>0</v>
      </c>
      <c r="E99" s="15">
        <f t="shared" si="130"/>
        <v>0</v>
      </c>
      <c r="F99" s="15">
        <f t="shared" si="130"/>
        <v>0</v>
      </c>
      <c r="G99" s="15">
        <f t="shared" si="130"/>
        <v>0</v>
      </c>
      <c r="H99" s="15">
        <f t="shared" si="130"/>
        <v>0</v>
      </c>
      <c r="I99" s="15">
        <f t="shared" si="130"/>
        <v>0</v>
      </c>
      <c r="J99" s="15">
        <f t="shared" si="130"/>
        <v>0</v>
      </c>
      <c r="K99" s="15">
        <f t="shared" si="130"/>
        <v>0</v>
      </c>
      <c r="L99" s="15">
        <f t="shared" si="130"/>
        <v>0</v>
      </c>
      <c r="M99" s="15">
        <f t="shared" si="130"/>
        <v>0</v>
      </c>
      <c r="N99" s="15">
        <f t="shared" si="130"/>
        <v>0</v>
      </c>
      <c r="O99" s="15">
        <f t="shared" ref="O99:T99" si="131">-(O68-N68)</f>
        <v>0</v>
      </c>
      <c r="P99" s="15">
        <f t="shared" si="131"/>
        <v>0</v>
      </c>
      <c r="Q99" s="15">
        <f t="shared" si="131"/>
        <v>0</v>
      </c>
      <c r="R99" s="15">
        <f t="shared" si="131"/>
        <v>0</v>
      </c>
      <c r="S99" s="15">
        <f t="shared" si="131"/>
        <v>0</v>
      </c>
      <c r="T99" s="15">
        <f t="shared" si="131"/>
        <v>0</v>
      </c>
      <c r="U99" s="15">
        <f t="shared" si="125"/>
        <v>0</v>
      </c>
    </row>
    <row r="100" spans="1:21" x14ac:dyDescent="0.3">
      <c r="A100" s="2" t="s">
        <v>75</v>
      </c>
      <c r="B100" s="15"/>
      <c r="C100" s="15">
        <f t="shared" ref="C100:N100" si="132">C82-B82</f>
        <v>0</v>
      </c>
      <c r="D100" s="15">
        <f t="shared" si="132"/>
        <v>0</v>
      </c>
      <c r="E100" s="15">
        <f t="shared" si="132"/>
        <v>0</v>
      </c>
      <c r="F100" s="15">
        <f t="shared" si="132"/>
        <v>0</v>
      </c>
      <c r="G100" s="15">
        <f t="shared" si="132"/>
        <v>0</v>
      </c>
      <c r="H100" s="15">
        <f t="shared" si="132"/>
        <v>0</v>
      </c>
      <c r="I100" s="15">
        <f t="shared" si="132"/>
        <v>0</v>
      </c>
      <c r="J100" s="15">
        <f t="shared" si="132"/>
        <v>0</v>
      </c>
      <c r="K100" s="15">
        <f t="shared" si="132"/>
        <v>0</v>
      </c>
      <c r="L100" s="15">
        <f t="shared" si="132"/>
        <v>0</v>
      </c>
      <c r="M100" s="15">
        <f t="shared" si="132"/>
        <v>0</v>
      </c>
      <c r="N100" s="15">
        <f t="shared" si="132"/>
        <v>0</v>
      </c>
      <c r="O100" s="15">
        <f t="shared" ref="O100:T100" si="133">O82-N82</f>
        <v>0</v>
      </c>
      <c r="P100" s="15">
        <f t="shared" si="133"/>
        <v>0</v>
      </c>
      <c r="Q100" s="15">
        <f t="shared" si="133"/>
        <v>0</v>
      </c>
      <c r="R100" s="15">
        <f t="shared" si="133"/>
        <v>0</v>
      </c>
      <c r="S100" s="15">
        <f t="shared" si="133"/>
        <v>0</v>
      </c>
      <c r="T100" s="15">
        <f t="shared" si="133"/>
        <v>0</v>
      </c>
      <c r="U100" s="15">
        <f t="shared" si="125"/>
        <v>0</v>
      </c>
    </row>
    <row r="101" spans="1:21" x14ac:dyDescent="0.3">
      <c r="A101" s="2" t="s">
        <v>76</v>
      </c>
      <c r="B101" s="15"/>
      <c r="C101" s="15">
        <f t="shared" ref="C101:N101" si="134">C83-B83</f>
        <v>0</v>
      </c>
      <c r="D101" s="15">
        <f t="shared" si="134"/>
        <v>0</v>
      </c>
      <c r="E101" s="15">
        <f t="shared" si="134"/>
        <v>0</v>
      </c>
      <c r="F101" s="15">
        <f t="shared" si="134"/>
        <v>0</v>
      </c>
      <c r="G101" s="15">
        <f t="shared" si="134"/>
        <v>0</v>
      </c>
      <c r="H101" s="15">
        <f t="shared" si="134"/>
        <v>0</v>
      </c>
      <c r="I101" s="15">
        <f t="shared" si="134"/>
        <v>0</v>
      </c>
      <c r="J101" s="15">
        <f t="shared" si="134"/>
        <v>0</v>
      </c>
      <c r="K101" s="15">
        <f t="shared" si="134"/>
        <v>0</v>
      </c>
      <c r="L101" s="15">
        <f t="shared" si="134"/>
        <v>0</v>
      </c>
      <c r="M101" s="15">
        <f t="shared" si="134"/>
        <v>0</v>
      </c>
      <c r="N101" s="15">
        <f t="shared" si="134"/>
        <v>0</v>
      </c>
      <c r="O101" s="15">
        <f t="shared" ref="O101:T101" si="135">O83-N83</f>
        <v>0</v>
      </c>
      <c r="P101" s="15">
        <f t="shared" si="135"/>
        <v>0</v>
      </c>
      <c r="Q101" s="15">
        <f t="shared" si="135"/>
        <v>0</v>
      </c>
      <c r="R101" s="15">
        <f t="shared" si="135"/>
        <v>0</v>
      </c>
      <c r="S101" s="15">
        <f t="shared" si="135"/>
        <v>0</v>
      </c>
      <c r="T101" s="15">
        <f t="shared" si="135"/>
        <v>0</v>
      </c>
      <c r="U101" s="15">
        <f t="shared" si="125"/>
        <v>0</v>
      </c>
    </row>
    <row r="102" spans="1:21" x14ac:dyDescent="0.3">
      <c r="A102" s="2" t="s">
        <v>77</v>
      </c>
      <c r="B102" s="15"/>
      <c r="C102" s="15">
        <f t="shared" ref="C102:N102" si="136">C84-B84</f>
        <v>0</v>
      </c>
      <c r="D102" s="15">
        <f t="shared" si="136"/>
        <v>0</v>
      </c>
      <c r="E102" s="15">
        <f t="shared" si="136"/>
        <v>0</v>
      </c>
      <c r="F102" s="15">
        <f t="shared" si="136"/>
        <v>0</v>
      </c>
      <c r="G102" s="15">
        <f t="shared" si="136"/>
        <v>0</v>
      </c>
      <c r="H102" s="15">
        <f t="shared" si="136"/>
        <v>0</v>
      </c>
      <c r="I102" s="15">
        <f t="shared" si="136"/>
        <v>0</v>
      </c>
      <c r="J102" s="15">
        <f t="shared" si="136"/>
        <v>0</v>
      </c>
      <c r="K102" s="15">
        <f t="shared" si="136"/>
        <v>0</v>
      </c>
      <c r="L102" s="15">
        <f t="shared" si="136"/>
        <v>0</v>
      </c>
      <c r="M102" s="15">
        <f t="shared" si="136"/>
        <v>0</v>
      </c>
      <c r="N102" s="15">
        <f t="shared" si="136"/>
        <v>0</v>
      </c>
      <c r="O102" s="15">
        <f t="shared" ref="O102:T102" si="137">O84-N84</f>
        <v>0</v>
      </c>
      <c r="P102" s="15">
        <f t="shared" si="137"/>
        <v>0</v>
      </c>
      <c r="Q102" s="15">
        <f t="shared" si="137"/>
        <v>0</v>
      </c>
      <c r="R102" s="15">
        <f t="shared" si="137"/>
        <v>0</v>
      </c>
      <c r="S102" s="15">
        <f t="shared" si="137"/>
        <v>0</v>
      </c>
      <c r="T102" s="15">
        <f t="shared" si="137"/>
        <v>0</v>
      </c>
      <c r="U102" s="15">
        <f t="shared" si="125"/>
        <v>0</v>
      </c>
    </row>
    <row r="103" spans="1:21" x14ac:dyDescent="0.3">
      <c r="A103" s="16" t="s">
        <v>78</v>
      </c>
      <c r="B103" s="17"/>
      <c r="C103" s="17">
        <f t="shared" ref="C103:U103" si="138">C93+C94+SUM(C96:C102)</f>
        <v>0</v>
      </c>
      <c r="D103" s="17">
        <f t="shared" si="138"/>
        <v>0</v>
      </c>
      <c r="E103" s="17">
        <f t="shared" si="138"/>
        <v>0</v>
      </c>
      <c r="F103" s="17">
        <f t="shared" si="138"/>
        <v>0</v>
      </c>
      <c r="G103" s="17">
        <f t="shared" si="138"/>
        <v>0</v>
      </c>
      <c r="H103" s="17">
        <f t="shared" si="138"/>
        <v>0</v>
      </c>
      <c r="I103" s="17">
        <f t="shared" si="138"/>
        <v>0</v>
      </c>
      <c r="J103" s="17">
        <f t="shared" si="138"/>
        <v>0</v>
      </c>
      <c r="K103" s="17">
        <f t="shared" si="138"/>
        <v>0</v>
      </c>
      <c r="L103" s="17">
        <f t="shared" si="138"/>
        <v>0</v>
      </c>
      <c r="M103" s="17">
        <f t="shared" si="138"/>
        <v>0</v>
      </c>
      <c r="N103" s="17">
        <f t="shared" si="138"/>
        <v>0</v>
      </c>
      <c r="O103" s="17">
        <f t="shared" ref="O103" si="139">O93+O94+SUM(O96:O102)</f>
        <v>0</v>
      </c>
      <c r="P103" s="17">
        <f t="shared" ref="P103" si="140">P93+P94+SUM(P96:P102)</f>
        <v>0</v>
      </c>
      <c r="Q103" s="17">
        <f t="shared" ref="Q103" si="141">Q93+Q94+SUM(Q96:Q102)</f>
        <v>0</v>
      </c>
      <c r="R103" s="17">
        <f t="shared" ref="R103" si="142">R93+R94+SUM(R96:R102)</f>
        <v>0</v>
      </c>
      <c r="S103" s="17">
        <f t="shared" ref="S103" si="143">S93+S94+SUM(S96:S102)</f>
        <v>0</v>
      </c>
      <c r="T103" s="17">
        <f t="shared" ref="T103" si="144">T93+T94+SUM(T96:T102)</f>
        <v>0</v>
      </c>
      <c r="U103" s="17">
        <f t="shared" si="138"/>
        <v>0</v>
      </c>
    </row>
    <row r="104" spans="1:2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x14ac:dyDescent="0.3">
      <c r="A105" s="12" t="s">
        <v>79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</row>
    <row r="106" spans="1:21" x14ac:dyDescent="0.3">
      <c r="A106" s="2" t="s">
        <v>80</v>
      </c>
      <c r="B106" s="15"/>
      <c r="C106" s="15">
        <f t="shared" ref="C106:N106" si="145">-(C60-B60)-C30</f>
        <v>0</v>
      </c>
      <c r="D106" s="15">
        <f t="shared" si="145"/>
        <v>0</v>
      </c>
      <c r="E106" s="15">
        <f t="shared" si="145"/>
        <v>0</v>
      </c>
      <c r="F106" s="15">
        <f t="shared" si="145"/>
        <v>0</v>
      </c>
      <c r="G106" s="15">
        <f t="shared" si="145"/>
        <v>0</v>
      </c>
      <c r="H106" s="15">
        <f t="shared" si="145"/>
        <v>0</v>
      </c>
      <c r="I106" s="15">
        <f t="shared" si="145"/>
        <v>0</v>
      </c>
      <c r="J106" s="15">
        <f t="shared" si="145"/>
        <v>0</v>
      </c>
      <c r="K106" s="15">
        <f t="shared" si="145"/>
        <v>0</v>
      </c>
      <c r="L106" s="15">
        <f t="shared" si="145"/>
        <v>0</v>
      </c>
      <c r="M106" s="15">
        <f t="shared" si="145"/>
        <v>0</v>
      </c>
      <c r="N106" s="15">
        <f t="shared" si="145"/>
        <v>0</v>
      </c>
      <c r="O106" s="15">
        <f t="shared" ref="O106:T106" si="146">-(O60-N60)-O30</f>
        <v>0</v>
      </c>
      <c r="P106" s="15">
        <f t="shared" si="146"/>
        <v>0</v>
      </c>
      <c r="Q106" s="15">
        <f t="shared" si="146"/>
        <v>0</v>
      </c>
      <c r="R106" s="15">
        <f t="shared" si="146"/>
        <v>0</v>
      </c>
      <c r="S106" s="15">
        <f t="shared" si="146"/>
        <v>0</v>
      </c>
      <c r="T106" s="15">
        <f t="shared" si="146"/>
        <v>0</v>
      </c>
      <c r="U106" s="15">
        <f>SUM(C106:T106)</f>
        <v>0</v>
      </c>
    </row>
    <row r="107" spans="1:21" x14ac:dyDescent="0.3">
      <c r="A107" s="2" t="s">
        <v>81</v>
      </c>
      <c r="B107" s="15"/>
      <c r="C107" s="15">
        <f t="shared" ref="C107:N107" si="147">-(C61-B61)-C31</f>
        <v>0</v>
      </c>
      <c r="D107" s="15">
        <f t="shared" si="147"/>
        <v>0</v>
      </c>
      <c r="E107" s="15">
        <f t="shared" si="147"/>
        <v>0</v>
      </c>
      <c r="F107" s="15">
        <f t="shared" si="147"/>
        <v>0</v>
      </c>
      <c r="G107" s="15">
        <f t="shared" si="147"/>
        <v>0</v>
      </c>
      <c r="H107" s="15">
        <f t="shared" si="147"/>
        <v>0</v>
      </c>
      <c r="I107" s="15">
        <f t="shared" si="147"/>
        <v>0</v>
      </c>
      <c r="J107" s="15">
        <f t="shared" si="147"/>
        <v>0</v>
      </c>
      <c r="K107" s="15">
        <f t="shared" si="147"/>
        <v>0</v>
      </c>
      <c r="L107" s="15">
        <f t="shared" si="147"/>
        <v>0</v>
      </c>
      <c r="M107" s="15">
        <f t="shared" si="147"/>
        <v>0</v>
      </c>
      <c r="N107" s="15">
        <f t="shared" si="147"/>
        <v>0</v>
      </c>
      <c r="O107" s="15">
        <f t="shared" ref="O107:T107" si="148">-(O61-N61)-O31</f>
        <v>0</v>
      </c>
      <c r="P107" s="15">
        <f t="shared" si="148"/>
        <v>0</v>
      </c>
      <c r="Q107" s="15">
        <f t="shared" si="148"/>
        <v>0</v>
      </c>
      <c r="R107" s="15">
        <f t="shared" si="148"/>
        <v>0</v>
      </c>
      <c r="S107" s="15">
        <f t="shared" si="148"/>
        <v>0</v>
      </c>
      <c r="T107" s="15">
        <f t="shared" si="148"/>
        <v>0</v>
      </c>
      <c r="U107" s="15">
        <f>SUM(C107:T107)</f>
        <v>0</v>
      </c>
    </row>
    <row r="108" spans="1:21" x14ac:dyDescent="0.3">
      <c r="A108" s="2" t="s">
        <v>82</v>
      </c>
      <c r="B108" s="15"/>
      <c r="C108" s="15">
        <f t="shared" ref="C108:N108" si="149">-(C62-B62)</f>
        <v>0</v>
      </c>
      <c r="D108" s="15">
        <f t="shared" si="149"/>
        <v>0</v>
      </c>
      <c r="E108" s="15">
        <f t="shared" si="149"/>
        <v>0</v>
      </c>
      <c r="F108" s="15">
        <f t="shared" si="149"/>
        <v>0</v>
      </c>
      <c r="G108" s="15">
        <f t="shared" si="149"/>
        <v>0</v>
      </c>
      <c r="H108" s="15">
        <f t="shared" si="149"/>
        <v>0</v>
      </c>
      <c r="I108" s="15">
        <f t="shared" si="149"/>
        <v>0</v>
      </c>
      <c r="J108" s="15">
        <f t="shared" si="149"/>
        <v>0</v>
      </c>
      <c r="K108" s="15">
        <f t="shared" si="149"/>
        <v>0</v>
      </c>
      <c r="L108" s="15">
        <f t="shared" si="149"/>
        <v>0</v>
      </c>
      <c r="M108" s="15">
        <f t="shared" si="149"/>
        <v>0</v>
      </c>
      <c r="N108" s="15">
        <f t="shared" si="149"/>
        <v>0</v>
      </c>
      <c r="O108" s="15">
        <f t="shared" ref="O108:T108" si="150">-(O62-N62)</f>
        <v>0</v>
      </c>
      <c r="P108" s="15">
        <f t="shared" si="150"/>
        <v>0</v>
      </c>
      <c r="Q108" s="15">
        <f t="shared" si="150"/>
        <v>0</v>
      </c>
      <c r="R108" s="15">
        <f t="shared" si="150"/>
        <v>0</v>
      </c>
      <c r="S108" s="15">
        <f t="shared" si="150"/>
        <v>0</v>
      </c>
      <c r="T108" s="15">
        <f t="shared" si="150"/>
        <v>0</v>
      </c>
      <c r="U108" s="15">
        <f>SUM(C108:T108)</f>
        <v>0</v>
      </c>
    </row>
    <row r="109" spans="1:21" x14ac:dyDescent="0.3">
      <c r="A109" s="16" t="s">
        <v>83</v>
      </c>
      <c r="B109" s="17"/>
      <c r="C109" s="17">
        <f t="shared" ref="C109:U109" si="151">SUM(C106:C108)</f>
        <v>0</v>
      </c>
      <c r="D109" s="17">
        <f t="shared" si="151"/>
        <v>0</v>
      </c>
      <c r="E109" s="17">
        <f t="shared" si="151"/>
        <v>0</v>
      </c>
      <c r="F109" s="17">
        <f t="shared" si="151"/>
        <v>0</v>
      </c>
      <c r="G109" s="17">
        <f t="shared" si="151"/>
        <v>0</v>
      </c>
      <c r="H109" s="17">
        <f t="shared" si="151"/>
        <v>0</v>
      </c>
      <c r="I109" s="17">
        <f t="shared" si="151"/>
        <v>0</v>
      </c>
      <c r="J109" s="17">
        <f t="shared" si="151"/>
        <v>0</v>
      </c>
      <c r="K109" s="17">
        <f t="shared" si="151"/>
        <v>0</v>
      </c>
      <c r="L109" s="17">
        <f t="shared" si="151"/>
        <v>0</v>
      </c>
      <c r="M109" s="17">
        <f t="shared" si="151"/>
        <v>0</v>
      </c>
      <c r="N109" s="17">
        <f t="shared" si="151"/>
        <v>0</v>
      </c>
      <c r="O109" s="17">
        <f t="shared" ref="O109" si="152">SUM(O106:O108)</f>
        <v>0</v>
      </c>
      <c r="P109" s="17">
        <f t="shared" ref="P109" si="153">SUM(P106:P108)</f>
        <v>0</v>
      </c>
      <c r="Q109" s="17">
        <f t="shared" ref="Q109" si="154">SUM(Q106:Q108)</f>
        <v>0</v>
      </c>
      <c r="R109" s="17">
        <f t="shared" ref="R109" si="155">SUM(R106:R108)</f>
        <v>0</v>
      </c>
      <c r="S109" s="17">
        <f t="shared" ref="S109" si="156">SUM(S106:S108)</f>
        <v>0</v>
      </c>
      <c r="T109" s="17">
        <f t="shared" ref="T109" si="157">SUM(T106:T108)</f>
        <v>0</v>
      </c>
      <c r="U109" s="17">
        <f t="shared" si="151"/>
        <v>0</v>
      </c>
    </row>
    <row r="110" spans="1:2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x14ac:dyDescent="0.3">
      <c r="A111" s="12" t="s">
        <v>84</v>
      </c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</row>
    <row r="112" spans="1:21" x14ac:dyDescent="0.3">
      <c r="A112" s="2" t="s">
        <v>85</v>
      </c>
      <c r="B112" s="15"/>
      <c r="C112" s="15">
        <f t="shared" ref="C112:N112" si="158">(C75-B75)+(C76-B76)</f>
        <v>0</v>
      </c>
      <c r="D112" s="15">
        <f t="shared" si="158"/>
        <v>0</v>
      </c>
      <c r="E112" s="15">
        <f t="shared" si="158"/>
        <v>0</v>
      </c>
      <c r="F112" s="15">
        <f t="shared" si="158"/>
        <v>0</v>
      </c>
      <c r="G112" s="15">
        <f t="shared" si="158"/>
        <v>0</v>
      </c>
      <c r="H112" s="15">
        <f t="shared" si="158"/>
        <v>0</v>
      </c>
      <c r="I112" s="15">
        <f t="shared" si="158"/>
        <v>0</v>
      </c>
      <c r="J112" s="15">
        <f t="shared" si="158"/>
        <v>0</v>
      </c>
      <c r="K112" s="15">
        <f t="shared" si="158"/>
        <v>0</v>
      </c>
      <c r="L112" s="15">
        <f t="shared" si="158"/>
        <v>0</v>
      </c>
      <c r="M112" s="15">
        <f t="shared" si="158"/>
        <v>0</v>
      </c>
      <c r="N112" s="15">
        <f t="shared" si="158"/>
        <v>0</v>
      </c>
      <c r="O112" s="15">
        <f t="shared" ref="O112:T112" si="159">(O75-N75)+(O76-N76)</f>
        <v>0</v>
      </c>
      <c r="P112" s="15">
        <f t="shared" si="159"/>
        <v>0</v>
      </c>
      <c r="Q112" s="15">
        <f t="shared" si="159"/>
        <v>0</v>
      </c>
      <c r="R112" s="15">
        <f t="shared" si="159"/>
        <v>0</v>
      </c>
      <c r="S112" s="15">
        <f t="shared" si="159"/>
        <v>0</v>
      </c>
      <c r="T112" s="15">
        <f t="shared" si="159"/>
        <v>0</v>
      </c>
      <c r="U112" s="15">
        <f>SUM(C112:T112)</f>
        <v>0</v>
      </c>
    </row>
    <row r="113" spans="1:21" x14ac:dyDescent="0.3">
      <c r="A113" s="2" t="s">
        <v>86</v>
      </c>
      <c r="B113" s="15"/>
      <c r="C113" s="15">
        <f t="shared" ref="C113:N113" si="160">C80-B80</f>
        <v>0</v>
      </c>
      <c r="D113" s="15">
        <f t="shared" si="160"/>
        <v>0</v>
      </c>
      <c r="E113" s="15">
        <f t="shared" si="160"/>
        <v>0</v>
      </c>
      <c r="F113" s="15">
        <f t="shared" si="160"/>
        <v>0</v>
      </c>
      <c r="G113" s="15">
        <f t="shared" si="160"/>
        <v>0</v>
      </c>
      <c r="H113" s="15">
        <f t="shared" si="160"/>
        <v>0</v>
      </c>
      <c r="I113" s="15">
        <f t="shared" si="160"/>
        <v>0</v>
      </c>
      <c r="J113" s="15">
        <f t="shared" si="160"/>
        <v>0</v>
      </c>
      <c r="K113" s="15">
        <f t="shared" si="160"/>
        <v>0</v>
      </c>
      <c r="L113" s="15">
        <f t="shared" si="160"/>
        <v>0</v>
      </c>
      <c r="M113" s="15">
        <f t="shared" si="160"/>
        <v>0</v>
      </c>
      <c r="N113" s="15">
        <f t="shared" si="160"/>
        <v>0</v>
      </c>
      <c r="O113" s="15">
        <f t="shared" ref="O113:T113" si="161">O80-N80</f>
        <v>0</v>
      </c>
      <c r="P113" s="15">
        <f t="shared" si="161"/>
        <v>0</v>
      </c>
      <c r="Q113" s="15">
        <f t="shared" si="161"/>
        <v>0</v>
      </c>
      <c r="R113" s="15">
        <f t="shared" si="161"/>
        <v>0</v>
      </c>
      <c r="S113" s="15">
        <f t="shared" si="161"/>
        <v>0</v>
      </c>
      <c r="T113" s="15">
        <f t="shared" si="161"/>
        <v>0</v>
      </c>
      <c r="U113" s="15">
        <f>SUM(C113:T113)</f>
        <v>0</v>
      </c>
    </row>
    <row r="114" spans="1:21" x14ac:dyDescent="0.3">
      <c r="A114" s="2" t="s">
        <v>87</v>
      </c>
      <c r="B114" s="15"/>
      <c r="C114" s="15">
        <f t="shared" ref="C114:N114" si="162">C81-B81</f>
        <v>0</v>
      </c>
      <c r="D114" s="15">
        <f t="shared" si="162"/>
        <v>0</v>
      </c>
      <c r="E114" s="15">
        <f t="shared" si="162"/>
        <v>0</v>
      </c>
      <c r="F114" s="15">
        <f t="shared" si="162"/>
        <v>0</v>
      </c>
      <c r="G114" s="15">
        <f t="shared" si="162"/>
        <v>0</v>
      </c>
      <c r="H114" s="15">
        <f t="shared" si="162"/>
        <v>0</v>
      </c>
      <c r="I114" s="15">
        <f t="shared" si="162"/>
        <v>0</v>
      </c>
      <c r="J114" s="15">
        <f t="shared" si="162"/>
        <v>0</v>
      </c>
      <c r="K114" s="15">
        <f t="shared" si="162"/>
        <v>0</v>
      </c>
      <c r="L114" s="15">
        <f t="shared" si="162"/>
        <v>0</v>
      </c>
      <c r="M114" s="15">
        <f t="shared" si="162"/>
        <v>0</v>
      </c>
      <c r="N114" s="15">
        <f t="shared" si="162"/>
        <v>0</v>
      </c>
      <c r="O114" s="15">
        <f t="shared" ref="O114:T114" si="163">O81-N81</f>
        <v>0</v>
      </c>
      <c r="P114" s="15">
        <f t="shared" si="163"/>
        <v>0</v>
      </c>
      <c r="Q114" s="15">
        <f t="shared" si="163"/>
        <v>0</v>
      </c>
      <c r="R114" s="15">
        <f t="shared" si="163"/>
        <v>0</v>
      </c>
      <c r="S114" s="15">
        <f t="shared" si="163"/>
        <v>0</v>
      </c>
      <c r="T114" s="15">
        <f t="shared" si="163"/>
        <v>0</v>
      </c>
      <c r="U114" s="15">
        <f>SUM(C114:T114)</f>
        <v>0</v>
      </c>
    </row>
    <row r="115" spans="1:21" x14ac:dyDescent="0.3">
      <c r="A115" s="16" t="s">
        <v>88</v>
      </c>
      <c r="B115" s="17"/>
      <c r="C115" s="17">
        <f t="shared" ref="C115:U115" si="164">SUM(C112:C114)</f>
        <v>0</v>
      </c>
      <c r="D115" s="17">
        <f t="shared" si="164"/>
        <v>0</v>
      </c>
      <c r="E115" s="17">
        <f t="shared" si="164"/>
        <v>0</v>
      </c>
      <c r="F115" s="17">
        <f t="shared" si="164"/>
        <v>0</v>
      </c>
      <c r="G115" s="17">
        <f t="shared" si="164"/>
        <v>0</v>
      </c>
      <c r="H115" s="17">
        <f t="shared" si="164"/>
        <v>0</v>
      </c>
      <c r="I115" s="17">
        <f t="shared" si="164"/>
        <v>0</v>
      </c>
      <c r="J115" s="17">
        <f t="shared" si="164"/>
        <v>0</v>
      </c>
      <c r="K115" s="17">
        <f t="shared" si="164"/>
        <v>0</v>
      </c>
      <c r="L115" s="17">
        <f t="shared" si="164"/>
        <v>0</v>
      </c>
      <c r="M115" s="17">
        <f t="shared" si="164"/>
        <v>0</v>
      </c>
      <c r="N115" s="17">
        <f t="shared" si="164"/>
        <v>0</v>
      </c>
      <c r="O115" s="17">
        <f t="shared" ref="O115" si="165">SUM(O112:O114)</f>
        <v>0</v>
      </c>
      <c r="P115" s="17">
        <f t="shared" ref="P115" si="166">SUM(P112:P114)</f>
        <v>0</v>
      </c>
      <c r="Q115" s="17">
        <f t="shared" ref="Q115" si="167">SUM(Q112:Q114)</f>
        <v>0</v>
      </c>
      <c r="R115" s="17">
        <f t="shared" ref="R115" si="168">SUM(R112:R114)</f>
        <v>0</v>
      </c>
      <c r="S115" s="17">
        <f t="shared" ref="S115" si="169">SUM(S112:S114)</f>
        <v>0</v>
      </c>
      <c r="T115" s="17">
        <f t="shared" ref="T115" si="170">SUM(T112:T114)</f>
        <v>0</v>
      </c>
      <c r="U115" s="17">
        <f t="shared" si="164"/>
        <v>0</v>
      </c>
    </row>
    <row r="116" spans="1:2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" thickBot="1" x14ac:dyDescent="0.35">
      <c r="A117" s="21" t="s">
        <v>89</v>
      </c>
      <c r="B117" s="22"/>
      <c r="C117" s="22">
        <f t="shared" ref="C117:U117" si="171">C103+C109+C115</f>
        <v>0</v>
      </c>
      <c r="D117" s="22">
        <f t="shared" si="171"/>
        <v>0</v>
      </c>
      <c r="E117" s="22">
        <f t="shared" si="171"/>
        <v>0</v>
      </c>
      <c r="F117" s="22">
        <f t="shared" si="171"/>
        <v>0</v>
      </c>
      <c r="G117" s="22">
        <f t="shared" si="171"/>
        <v>0</v>
      </c>
      <c r="H117" s="22">
        <f t="shared" si="171"/>
        <v>0</v>
      </c>
      <c r="I117" s="22">
        <f t="shared" si="171"/>
        <v>0</v>
      </c>
      <c r="J117" s="22">
        <f t="shared" si="171"/>
        <v>0</v>
      </c>
      <c r="K117" s="22">
        <f t="shared" si="171"/>
        <v>0</v>
      </c>
      <c r="L117" s="22">
        <f t="shared" si="171"/>
        <v>0</v>
      </c>
      <c r="M117" s="22">
        <f t="shared" si="171"/>
        <v>0</v>
      </c>
      <c r="N117" s="22">
        <f t="shared" si="171"/>
        <v>0</v>
      </c>
      <c r="O117" s="22">
        <f t="shared" ref="O117:T117" si="172">O103+O109+O115</f>
        <v>0</v>
      </c>
      <c r="P117" s="22">
        <f t="shared" si="172"/>
        <v>0</v>
      </c>
      <c r="Q117" s="22">
        <f t="shared" si="172"/>
        <v>0</v>
      </c>
      <c r="R117" s="22">
        <f t="shared" si="172"/>
        <v>0</v>
      </c>
      <c r="S117" s="22">
        <f t="shared" si="172"/>
        <v>0</v>
      </c>
      <c r="T117" s="22">
        <f t="shared" si="172"/>
        <v>0</v>
      </c>
      <c r="U117" s="22">
        <f t="shared" si="171"/>
        <v>0</v>
      </c>
    </row>
    <row r="118" spans="1:21" ht="15" thickTop="1" x14ac:dyDescent="0.3">
      <c r="A118" s="2" t="s">
        <v>90</v>
      </c>
      <c r="B118" s="15"/>
      <c r="C118" s="15">
        <f t="shared" ref="C118:T118" si="173">B119</f>
        <v>0</v>
      </c>
      <c r="D118" s="15">
        <f t="shared" si="173"/>
        <v>0</v>
      </c>
      <c r="E118" s="15">
        <f t="shared" si="173"/>
        <v>0</v>
      </c>
      <c r="F118" s="15">
        <f t="shared" si="173"/>
        <v>0</v>
      </c>
      <c r="G118" s="15">
        <f t="shared" si="173"/>
        <v>0</v>
      </c>
      <c r="H118" s="15">
        <f t="shared" si="173"/>
        <v>0</v>
      </c>
      <c r="I118" s="15">
        <f t="shared" si="173"/>
        <v>0</v>
      </c>
      <c r="J118" s="15">
        <f t="shared" si="173"/>
        <v>0</v>
      </c>
      <c r="K118" s="15">
        <f t="shared" si="173"/>
        <v>0</v>
      </c>
      <c r="L118" s="15">
        <f t="shared" si="173"/>
        <v>0</v>
      </c>
      <c r="M118" s="15">
        <f t="shared" si="173"/>
        <v>0</v>
      </c>
      <c r="N118" s="15">
        <f t="shared" si="173"/>
        <v>0</v>
      </c>
      <c r="O118" s="15">
        <f t="shared" si="173"/>
        <v>0</v>
      </c>
      <c r="P118" s="15">
        <f t="shared" si="173"/>
        <v>0</v>
      </c>
      <c r="Q118" s="15">
        <f t="shared" si="173"/>
        <v>0</v>
      </c>
      <c r="R118" s="15">
        <f t="shared" si="173"/>
        <v>0</v>
      </c>
      <c r="S118" s="15">
        <f t="shared" si="173"/>
        <v>0</v>
      </c>
      <c r="T118" s="15">
        <f t="shared" si="173"/>
        <v>0</v>
      </c>
      <c r="U118" s="15">
        <f>B119</f>
        <v>0</v>
      </c>
    </row>
    <row r="119" spans="1:21" ht="15" thickBot="1" x14ac:dyDescent="0.35">
      <c r="A119" s="27" t="s">
        <v>91</v>
      </c>
      <c r="B119" s="28">
        <f t="shared" ref="B119:U119" si="174">B117+B118</f>
        <v>0</v>
      </c>
      <c r="C119" s="28">
        <f t="shared" si="174"/>
        <v>0</v>
      </c>
      <c r="D119" s="28">
        <f t="shared" si="174"/>
        <v>0</v>
      </c>
      <c r="E119" s="28">
        <f t="shared" si="174"/>
        <v>0</v>
      </c>
      <c r="F119" s="28">
        <f t="shared" si="174"/>
        <v>0</v>
      </c>
      <c r="G119" s="28">
        <f t="shared" si="174"/>
        <v>0</v>
      </c>
      <c r="H119" s="28">
        <f t="shared" si="174"/>
        <v>0</v>
      </c>
      <c r="I119" s="28">
        <f t="shared" si="174"/>
        <v>0</v>
      </c>
      <c r="J119" s="28">
        <f t="shared" si="174"/>
        <v>0</v>
      </c>
      <c r="K119" s="28">
        <f t="shared" si="174"/>
        <v>0</v>
      </c>
      <c r="L119" s="28">
        <f t="shared" si="174"/>
        <v>0</v>
      </c>
      <c r="M119" s="28">
        <f t="shared" si="174"/>
        <v>0</v>
      </c>
      <c r="N119" s="28">
        <f t="shared" si="174"/>
        <v>0</v>
      </c>
      <c r="O119" s="28">
        <f t="shared" ref="O119" si="175">O117+O118</f>
        <v>0</v>
      </c>
      <c r="P119" s="28">
        <f t="shared" ref="P119" si="176">P117+P118</f>
        <v>0</v>
      </c>
      <c r="Q119" s="28">
        <f t="shared" ref="Q119" si="177">Q117+Q118</f>
        <v>0</v>
      </c>
      <c r="R119" s="28">
        <f t="shared" ref="R119" si="178">R117+R118</f>
        <v>0</v>
      </c>
      <c r="S119" s="28">
        <f t="shared" ref="S119" si="179">S117+S118</f>
        <v>0</v>
      </c>
      <c r="T119" s="28">
        <f t="shared" ref="T119" si="180">T117+T118</f>
        <v>0</v>
      </c>
      <c r="U119" s="28">
        <f t="shared" si="174"/>
        <v>0</v>
      </c>
    </row>
    <row r="120" spans="1:21" ht="15" thickTop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x14ac:dyDescent="0.3">
      <c r="A121" s="24" t="s">
        <v>92</v>
      </c>
      <c r="B121" s="25">
        <f t="shared" ref="B121:U121" si="181">B119-B69</f>
        <v>0</v>
      </c>
      <c r="C121" s="25">
        <f t="shared" si="181"/>
        <v>0</v>
      </c>
      <c r="D121" s="25">
        <f t="shared" si="181"/>
        <v>0</v>
      </c>
      <c r="E121" s="25">
        <f t="shared" si="181"/>
        <v>0</v>
      </c>
      <c r="F121" s="25">
        <f t="shared" si="181"/>
        <v>0</v>
      </c>
      <c r="G121" s="25">
        <f t="shared" si="181"/>
        <v>0</v>
      </c>
      <c r="H121" s="25">
        <f t="shared" si="181"/>
        <v>0</v>
      </c>
      <c r="I121" s="25">
        <f t="shared" si="181"/>
        <v>0</v>
      </c>
      <c r="J121" s="25">
        <f t="shared" si="181"/>
        <v>0</v>
      </c>
      <c r="K121" s="25">
        <f t="shared" si="181"/>
        <v>0</v>
      </c>
      <c r="L121" s="25">
        <f t="shared" si="181"/>
        <v>0</v>
      </c>
      <c r="M121" s="25">
        <f t="shared" si="181"/>
        <v>0</v>
      </c>
      <c r="N121" s="25">
        <f t="shared" si="181"/>
        <v>0</v>
      </c>
      <c r="O121" s="25">
        <f t="shared" ref="O121:T121" si="182">O119-O69</f>
        <v>0</v>
      </c>
      <c r="P121" s="25">
        <f t="shared" si="182"/>
        <v>0</v>
      </c>
      <c r="Q121" s="25">
        <f t="shared" si="182"/>
        <v>0</v>
      </c>
      <c r="R121" s="25">
        <f t="shared" si="182"/>
        <v>0</v>
      </c>
      <c r="S121" s="25">
        <f t="shared" si="182"/>
        <v>0</v>
      </c>
      <c r="T121" s="25">
        <f t="shared" si="182"/>
        <v>0</v>
      </c>
      <c r="U121" s="25">
        <f t="shared" si="181"/>
        <v>0</v>
      </c>
    </row>
  </sheetData>
  <sheetProtection sheet="1" objects="1" scenarios="1"/>
  <conditionalFormatting sqref="B89:U89">
    <cfRule type="expression" dxfId="3" priority="5">
      <formula>B89&lt;&gt;0</formula>
    </cfRule>
    <cfRule type="expression" dxfId="2" priority="6">
      <formula>B89=0</formula>
    </cfRule>
  </conditionalFormatting>
  <conditionalFormatting sqref="B121:U121">
    <cfRule type="expression" dxfId="1" priority="7">
      <formula>B121&lt;&gt;0</formula>
    </cfRule>
    <cfRule type="expression" dxfId="0" priority="8">
      <formula>B121=0</formula>
    </cfRule>
  </conditionalFormatting>
  <dataValidations count="1">
    <dataValidation type="list" allowBlank="1" showInputMessage="1" showErrorMessage="1" promptTitle="Tyyppi" prompt="Valitse: ACT (toteutunut), FC (ennuste), BUD (budjetti)" sqref="A3" xr:uid="{7FFE9E21-9B5C-4667-A8FC-B1F2A6050E04}">
      <formula1>"ACT,FC,BUD"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Eliminations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Isaksson</dc:creator>
  <cp:lastModifiedBy>Niklas Isaksson</cp:lastModifiedBy>
  <dcterms:created xsi:type="dcterms:W3CDTF">2026-03-13T20:17:11Z</dcterms:created>
  <dcterms:modified xsi:type="dcterms:W3CDTF">2026-03-14T02:56:59Z</dcterms:modified>
</cp:coreProperties>
</file>